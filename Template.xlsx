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<sst xmlns="http://schemas.openxmlformats.org/spreadsheetml/2006/main" count="6663" uniqueCount="5317">
  <si>
    <t>Mapchart Id</t>
  </si>
  <si>
    <t>STATE</t>
  </si>
  <si>
    <t>USA County Name</t>
  </si>
  <si>
    <t>COLOR</t>
  </si>
  <si>
    <t>Wastewater Site</t>
  </si>
  <si>
    <t>Aleutians_East__AK</t>
  </si>
  <si>
    <t>ALASKA</t>
  </si>
  <si>
    <t>Aleutians East</t>
  </si>
  <si>
    <t>Aleutians_West__AK</t>
  </si>
  <si>
    <t>Aleutians West</t>
  </si>
  <si>
    <t>Anchorage__AK</t>
  </si>
  <si>
    <t>Anchorage</t>
  </si>
  <si>
    <t>Bethel__AK</t>
  </si>
  <si>
    <t>Bethel</t>
  </si>
  <si>
    <t>Bristol_Bay__AK</t>
  </si>
  <si>
    <t>Bristol Bay</t>
  </si>
  <si>
    <t>Chugach__AK</t>
  </si>
  <si>
    <t>Chugach</t>
  </si>
  <si>
    <t>Copper_River__AK</t>
  </si>
  <si>
    <t>Copper River</t>
  </si>
  <si>
    <t>Denali__AK</t>
  </si>
  <si>
    <t>Denali</t>
  </si>
  <si>
    <t>Dillingham__AK</t>
  </si>
  <si>
    <t>Dillingham</t>
  </si>
  <si>
    <t>Fairbanks_North_Star__AK</t>
  </si>
  <si>
    <t>Fairbanks North Star</t>
  </si>
  <si>
    <t>Haines__AK</t>
  </si>
  <si>
    <t>Haines</t>
  </si>
  <si>
    <t>Hoonah_Angoon__AK</t>
  </si>
  <si>
    <t>Hoonah Angoon</t>
  </si>
  <si>
    <t>Juneau__AK</t>
  </si>
  <si>
    <t>Juneau</t>
  </si>
  <si>
    <t>Kenai_Peninsula__AK</t>
  </si>
  <si>
    <t>Kenai Peninsula</t>
  </si>
  <si>
    <t>Ketchikan_Gateway__AK</t>
  </si>
  <si>
    <t>Ketchikan Gateway</t>
  </si>
  <si>
    <t>Kodiak_Island__AK</t>
  </si>
  <si>
    <t>Kodiak Island</t>
  </si>
  <si>
    <t>Lake_and_Peninsula__AK</t>
  </si>
  <si>
    <t>Lake and Peninsula</t>
  </si>
  <si>
    <t>Matanuska_Susitna__AK</t>
  </si>
  <si>
    <t>Matanuska Susitna</t>
  </si>
  <si>
    <t>Nome__AK</t>
  </si>
  <si>
    <t>Nome</t>
  </si>
  <si>
    <t>North_Slope__AK</t>
  </si>
  <si>
    <t>North Slope</t>
  </si>
  <si>
    <t>Northwest_Arctic__AK</t>
  </si>
  <si>
    <t>Northwest Arctic</t>
  </si>
  <si>
    <t>Petersburg__AK</t>
  </si>
  <si>
    <t>Petersburg</t>
  </si>
  <si>
    <t>Prince_of_Wales_Hyder__AK</t>
  </si>
  <si>
    <t>Prince of Wales Hyder</t>
  </si>
  <si>
    <t>SE_Fairbanks__AK</t>
  </si>
  <si>
    <t>SE Fairbanks</t>
  </si>
  <si>
    <t>Sitka__AK</t>
  </si>
  <si>
    <t>Sitka</t>
  </si>
  <si>
    <t>Skagway__AK</t>
  </si>
  <si>
    <t>Skagway</t>
  </si>
  <si>
    <t>Kusilvak__AK</t>
  </si>
  <si>
    <t>Kusilvak</t>
  </si>
  <si>
    <t>Wrangell__AK</t>
  </si>
  <si>
    <t>Wrangell</t>
  </si>
  <si>
    <t>Yakutat__AK</t>
  </si>
  <si>
    <t>Yakutat</t>
  </si>
  <si>
    <t>Yukon_Koyukuk__AK</t>
  </si>
  <si>
    <t>Yukon Koyukuk</t>
  </si>
  <si>
    <t>Autauga__AL</t>
  </si>
  <si>
    <t>ALABAMA</t>
  </si>
  <si>
    <t>Autauga</t>
  </si>
  <si>
    <t>Baldwin__AL</t>
  </si>
  <si>
    <t>Baldwin</t>
  </si>
  <si>
    <t>Barbour__AL</t>
  </si>
  <si>
    <t>Barbour</t>
  </si>
  <si>
    <t>Bibb__AL</t>
  </si>
  <si>
    <t>Bibb</t>
  </si>
  <si>
    <t>Blount__AL</t>
  </si>
  <si>
    <t>Blount</t>
  </si>
  <si>
    <t>Bullock__AL</t>
  </si>
  <si>
    <t>Bullock</t>
  </si>
  <si>
    <t>Butler__AL</t>
  </si>
  <si>
    <t>Butler</t>
  </si>
  <si>
    <t>Calhoun__AL</t>
  </si>
  <si>
    <t>Calhoun</t>
  </si>
  <si>
    <t>Chambers__AL</t>
  </si>
  <si>
    <t>Chambers</t>
  </si>
  <si>
    <t>Cherokee__AL</t>
  </si>
  <si>
    <t>Cherokee</t>
  </si>
  <si>
    <t>Chilton__AL</t>
  </si>
  <si>
    <t>Chilton</t>
  </si>
  <si>
    <t>Choctaw__AL</t>
  </si>
  <si>
    <t>Choctaw</t>
  </si>
  <si>
    <t>Clarke__AL</t>
  </si>
  <si>
    <t>Clarke</t>
  </si>
  <si>
    <t>Clay__AL</t>
  </si>
  <si>
    <t>Clay</t>
  </si>
  <si>
    <t>Cleburne__AL</t>
  </si>
  <si>
    <t>Cleburne</t>
  </si>
  <si>
    <t>Coffee__AL</t>
  </si>
  <si>
    <t>Coffee</t>
  </si>
  <si>
    <t>Colbert__AL</t>
  </si>
  <si>
    <t>Colbert</t>
  </si>
  <si>
    <t>Conecuh__AL</t>
  </si>
  <si>
    <t>Conecuh</t>
  </si>
  <si>
    <t>Coosa__AL</t>
  </si>
  <si>
    <t>Coosa</t>
  </si>
  <si>
    <t>Covington__AL</t>
  </si>
  <si>
    <t>Covington</t>
  </si>
  <si>
    <t>Crenshaw__AL</t>
  </si>
  <si>
    <t>Crenshaw</t>
  </si>
  <si>
    <t>Cullman__AL</t>
  </si>
  <si>
    <t>Cullman</t>
  </si>
  <si>
    <t>Dale__AL</t>
  </si>
  <si>
    <t>Dale</t>
  </si>
  <si>
    <t>Dallas__AL</t>
  </si>
  <si>
    <t>Dallas</t>
  </si>
  <si>
    <t>DeKalb__AL</t>
  </si>
  <si>
    <t>DeKalb</t>
  </si>
  <si>
    <t>Elmore__AL</t>
  </si>
  <si>
    <t>Elmore</t>
  </si>
  <si>
    <t>Escambia__AL</t>
  </si>
  <si>
    <t>Escambia</t>
  </si>
  <si>
    <t>Etowah__AL</t>
  </si>
  <si>
    <t>Etowah</t>
  </si>
  <si>
    <t>Fayette__AL</t>
  </si>
  <si>
    <t>Fayette</t>
  </si>
  <si>
    <t>Franklin__AL</t>
  </si>
  <si>
    <t>Franklin</t>
  </si>
  <si>
    <t>Geneva__AL</t>
  </si>
  <si>
    <t>Geneva</t>
  </si>
  <si>
    <t>Greene__AL</t>
  </si>
  <si>
    <t>Greene</t>
  </si>
  <si>
    <t>Hale__AL</t>
  </si>
  <si>
    <t>Hale</t>
  </si>
  <si>
    <t>Henry__AL</t>
  </si>
  <si>
    <t>Henry</t>
  </si>
  <si>
    <t>Houston__AL</t>
  </si>
  <si>
    <t>Houston</t>
  </si>
  <si>
    <t>Jackson__AL</t>
  </si>
  <si>
    <t>Jackson</t>
  </si>
  <si>
    <t>Jefferson__AL</t>
  </si>
  <si>
    <t>Jefferson</t>
  </si>
  <si>
    <t>Bessemer</t>
  </si>
  <si>
    <t>Lamar__AL</t>
  </si>
  <si>
    <t>Lamar</t>
  </si>
  <si>
    <t>Lauderdale__AL</t>
  </si>
  <si>
    <t>Lauderdale</t>
  </si>
  <si>
    <t>Lawrence__AL</t>
  </si>
  <si>
    <t>Lawrence</t>
  </si>
  <si>
    <t>Lee__AL</t>
  </si>
  <si>
    <t>Lee</t>
  </si>
  <si>
    <t>Limestone__AL</t>
  </si>
  <si>
    <t>Limestone</t>
  </si>
  <si>
    <t>Lowndes__AL</t>
  </si>
  <si>
    <t>Lowndes</t>
  </si>
  <si>
    <t>Macon__AL</t>
  </si>
  <si>
    <t>Macon</t>
  </si>
  <si>
    <t>Madison__AL</t>
  </si>
  <si>
    <t>Madison</t>
  </si>
  <si>
    <t>Marengo__AL</t>
  </si>
  <si>
    <t>Marengo</t>
  </si>
  <si>
    <t>Marion__AL</t>
  </si>
  <si>
    <t>Marion</t>
  </si>
  <si>
    <t>Marshall__AL</t>
  </si>
  <si>
    <t>Marshall</t>
  </si>
  <si>
    <t>Mobile__AL</t>
  </si>
  <si>
    <t>Mobile</t>
  </si>
  <si>
    <t>Monroe__AL</t>
  </si>
  <si>
    <t>Monroe</t>
  </si>
  <si>
    <t>Montgomery__AL</t>
  </si>
  <si>
    <t>Montgomery</t>
  </si>
  <si>
    <t>Morgan__AL</t>
  </si>
  <si>
    <t>Morgan</t>
  </si>
  <si>
    <t>Perry__AL</t>
  </si>
  <si>
    <t>Perry</t>
  </si>
  <si>
    <t>Pickens__AL</t>
  </si>
  <si>
    <t>Pickens</t>
  </si>
  <si>
    <t>Pike__AL</t>
  </si>
  <si>
    <t>Pike</t>
  </si>
  <si>
    <t>Randolph__AL</t>
  </si>
  <si>
    <t>Randolph</t>
  </si>
  <si>
    <t>Russell__AL</t>
  </si>
  <si>
    <t>Russell</t>
  </si>
  <si>
    <t>Shelby__AL</t>
  </si>
  <si>
    <t>Shelby</t>
  </si>
  <si>
    <t>St__Clair__AL</t>
  </si>
  <si>
    <t>St  Clair</t>
  </si>
  <si>
    <t>Sumter__AL</t>
  </si>
  <si>
    <t>Sumter</t>
  </si>
  <si>
    <t>Talladega__AL</t>
  </si>
  <si>
    <t>Talladega</t>
  </si>
  <si>
    <t>Tallapoosa__AL</t>
  </si>
  <si>
    <t>Tallapoosa</t>
  </si>
  <si>
    <t>Tuscaloosa__AL</t>
  </si>
  <si>
    <t>Tuscaloosa</t>
  </si>
  <si>
    <t>Walker__AL</t>
  </si>
  <si>
    <t>Walker</t>
  </si>
  <si>
    <t>Washington__AL</t>
  </si>
  <si>
    <t>Washington</t>
  </si>
  <si>
    <t>Wilcox__AL</t>
  </si>
  <si>
    <t>Wilcox</t>
  </si>
  <si>
    <t>Winston__AL</t>
  </si>
  <si>
    <t>Winston</t>
  </si>
  <si>
    <t>Arkansas__AR</t>
  </si>
  <si>
    <t>ARKANSAS</t>
  </si>
  <si>
    <t>Arkansas</t>
  </si>
  <si>
    <t>Ashley__AR</t>
  </si>
  <si>
    <t>Ashley</t>
  </si>
  <si>
    <t>Baxter__AR</t>
  </si>
  <si>
    <t>Baxter</t>
  </si>
  <si>
    <t>Benton__AR</t>
  </si>
  <si>
    <t>Benton</t>
  </si>
  <si>
    <t>Boone__AR</t>
  </si>
  <si>
    <t>Boone</t>
  </si>
  <si>
    <t>Harrison</t>
  </si>
  <si>
    <t>Bradley__AR</t>
  </si>
  <si>
    <t>Bradley</t>
  </si>
  <si>
    <t>Calhoun__AR</t>
  </si>
  <si>
    <t>Carroll__AR</t>
  </si>
  <si>
    <t>Carroll</t>
  </si>
  <si>
    <t>Chicot__AR</t>
  </si>
  <si>
    <t>Chicot</t>
  </si>
  <si>
    <t>Clark__AR</t>
  </si>
  <si>
    <t>Clark</t>
  </si>
  <si>
    <t>Clay__AR</t>
  </si>
  <si>
    <t>Cleburne__AR</t>
  </si>
  <si>
    <t>Cleveland__AR</t>
  </si>
  <si>
    <t>Cleveland</t>
  </si>
  <si>
    <t>Columbia__AR</t>
  </si>
  <si>
    <t>Columbia</t>
  </si>
  <si>
    <t>Conway__AR</t>
  </si>
  <si>
    <t>Conway</t>
  </si>
  <si>
    <t>Craighead__AR</t>
  </si>
  <si>
    <t>Craighead</t>
  </si>
  <si>
    <t>Crawford__AR</t>
  </si>
  <si>
    <t>Crawford</t>
  </si>
  <si>
    <t>Crittenden__AR</t>
  </si>
  <si>
    <t>Crittenden</t>
  </si>
  <si>
    <t>Cross__AR</t>
  </si>
  <si>
    <t>Cross</t>
  </si>
  <si>
    <t>Dallas__AR</t>
  </si>
  <si>
    <t>Desha__AR</t>
  </si>
  <si>
    <t>Desha</t>
  </si>
  <si>
    <t>Drew__AR</t>
  </si>
  <si>
    <t>Drew</t>
  </si>
  <si>
    <t>Faulkner__AR</t>
  </si>
  <si>
    <t>Faulkner</t>
  </si>
  <si>
    <t>Franklin__AR</t>
  </si>
  <si>
    <t>Fulton__AR</t>
  </si>
  <si>
    <t>Fulton</t>
  </si>
  <si>
    <t>Garland__AR</t>
  </si>
  <si>
    <t>Garland</t>
  </si>
  <si>
    <t>Grant__AR</t>
  </si>
  <si>
    <t>Grant</t>
  </si>
  <si>
    <t>Greene__AR</t>
  </si>
  <si>
    <t>Hempstead__AR</t>
  </si>
  <si>
    <t>Hempstead</t>
  </si>
  <si>
    <t>Hot_Spring__AR</t>
  </si>
  <si>
    <t>Hot Spring</t>
  </si>
  <si>
    <t>Howard__AR</t>
  </si>
  <si>
    <t>Howard</t>
  </si>
  <si>
    <t>Independence__AR</t>
  </si>
  <si>
    <t>Independence</t>
  </si>
  <si>
    <t>Izard__AR</t>
  </si>
  <si>
    <t>Izard</t>
  </si>
  <si>
    <t>Jackson__AR</t>
  </si>
  <si>
    <t>Jefferson__AR</t>
  </si>
  <si>
    <t>Johnson__AR</t>
  </si>
  <si>
    <t>Johnson</t>
  </si>
  <si>
    <t>Lafayette__AR</t>
  </si>
  <si>
    <t>Lafayette</t>
  </si>
  <si>
    <t>Lawrence__AR</t>
  </si>
  <si>
    <t>Lee__AR</t>
  </si>
  <si>
    <t>Lincoln__AR</t>
  </si>
  <si>
    <t>Lincoln</t>
  </si>
  <si>
    <t>Little_River__AR</t>
  </si>
  <si>
    <t>Little River</t>
  </si>
  <si>
    <t>Logan__AR</t>
  </si>
  <si>
    <t>Logan</t>
  </si>
  <si>
    <t>Lonoke__AR</t>
  </si>
  <si>
    <t>Lonoke</t>
  </si>
  <si>
    <t>Madison__AR</t>
  </si>
  <si>
    <t>Marion__AR</t>
  </si>
  <si>
    <t>Miller__AR</t>
  </si>
  <si>
    <t>Miller</t>
  </si>
  <si>
    <t>Mississippi__AR</t>
  </si>
  <si>
    <t>Mississippi</t>
  </si>
  <si>
    <t>Monroe__AR</t>
  </si>
  <si>
    <t>Montgomery__AR</t>
  </si>
  <si>
    <t>Nevada__AR</t>
  </si>
  <si>
    <t>Nevada</t>
  </si>
  <si>
    <t>Newton__AR</t>
  </si>
  <si>
    <t>Newton</t>
  </si>
  <si>
    <t>Ouachita__AR</t>
  </si>
  <si>
    <t>Ouachita</t>
  </si>
  <si>
    <t>Perry__AR</t>
  </si>
  <si>
    <t>Phillips__AR</t>
  </si>
  <si>
    <t>Phillips</t>
  </si>
  <si>
    <t>Pike__AR</t>
  </si>
  <si>
    <t>Poinsett__AR</t>
  </si>
  <si>
    <t>Poinsett</t>
  </si>
  <si>
    <t>Polk__AR</t>
  </si>
  <si>
    <t>Polk</t>
  </si>
  <si>
    <t>Pope__AR</t>
  </si>
  <si>
    <t>Pope</t>
  </si>
  <si>
    <t>Prairie__AR</t>
  </si>
  <si>
    <t>Prairie</t>
  </si>
  <si>
    <t>Pulaski__AR</t>
  </si>
  <si>
    <t>Pulaski</t>
  </si>
  <si>
    <t>Randolph__AR</t>
  </si>
  <si>
    <t>Saline__AR</t>
  </si>
  <si>
    <t>Saline</t>
  </si>
  <si>
    <t>Scott__AR</t>
  </si>
  <si>
    <t>Scott</t>
  </si>
  <si>
    <t>Searcy__AR</t>
  </si>
  <si>
    <t>Searcy</t>
  </si>
  <si>
    <t>Sebastian__AR</t>
  </si>
  <si>
    <t>Sebastian</t>
  </si>
  <si>
    <t>Sevier__AR</t>
  </si>
  <si>
    <t>Sevier</t>
  </si>
  <si>
    <t>Sharp__AR</t>
  </si>
  <si>
    <t>Sharp</t>
  </si>
  <si>
    <t>St__Francis__AR</t>
  </si>
  <si>
    <t>St  Francis</t>
  </si>
  <si>
    <t>Stone__AR</t>
  </si>
  <si>
    <t>Stone</t>
  </si>
  <si>
    <t>Union__AR</t>
  </si>
  <si>
    <t>Union</t>
  </si>
  <si>
    <t>Van_Buren__AR</t>
  </si>
  <si>
    <t>Van Buren</t>
  </si>
  <si>
    <t>Washington__AR</t>
  </si>
  <si>
    <t>White__AR</t>
  </si>
  <si>
    <t>White</t>
  </si>
  <si>
    <t>Woodruff__AR</t>
  </si>
  <si>
    <t>Woodruff</t>
  </si>
  <si>
    <t>Yell__AR</t>
  </si>
  <si>
    <t>Yell</t>
  </si>
  <si>
    <t>Apache__AZ</t>
  </si>
  <si>
    <t>ARIZONA</t>
  </si>
  <si>
    <t>Apache</t>
  </si>
  <si>
    <t>Cochise__AZ</t>
  </si>
  <si>
    <t>Cochise</t>
  </si>
  <si>
    <t>Coconino__AZ</t>
  </si>
  <si>
    <t>Coconino</t>
  </si>
  <si>
    <t>Gila__AZ</t>
  </si>
  <si>
    <t>Gila</t>
  </si>
  <si>
    <t>Graham__AZ</t>
  </si>
  <si>
    <t>Graham</t>
  </si>
  <si>
    <t>Greenlee__AZ</t>
  </si>
  <si>
    <t>Greenlee</t>
  </si>
  <si>
    <t>La_Paz__AZ</t>
  </si>
  <si>
    <t>La Paz</t>
  </si>
  <si>
    <t>Maricopa__AZ</t>
  </si>
  <si>
    <t>Maricopa</t>
  </si>
  <si>
    <t>Mohave__AZ</t>
  </si>
  <si>
    <t>Mohave</t>
  </si>
  <si>
    <t>Navajo__AZ</t>
  </si>
  <si>
    <t>Navajo</t>
  </si>
  <si>
    <t>Pima__AZ</t>
  </si>
  <si>
    <t>Pima</t>
  </si>
  <si>
    <t>Pinal__AZ</t>
  </si>
  <si>
    <t>Pinal</t>
  </si>
  <si>
    <t>Santa_Cruz__AZ</t>
  </si>
  <si>
    <t>Santa Cruz</t>
  </si>
  <si>
    <t>Yavapai__AZ</t>
  </si>
  <si>
    <t>Yavapai</t>
  </si>
  <si>
    <t>Yuma__AZ</t>
  </si>
  <si>
    <t>Yuma</t>
  </si>
  <si>
    <t>Alameda__CA</t>
  </si>
  <si>
    <t>CALIFORNIA</t>
  </si>
  <si>
    <t>Alameda</t>
  </si>
  <si>
    <t>Fremont</t>
  </si>
  <si>
    <t>Alpine__CA</t>
  </si>
  <si>
    <t>Alpine</t>
  </si>
  <si>
    <t>Amador__CA</t>
  </si>
  <si>
    <t>Amador</t>
  </si>
  <si>
    <t>Butte__CA</t>
  </si>
  <si>
    <t>Butte</t>
  </si>
  <si>
    <t>Calaveras__CA</t>
  </si>
  <si>
    <t>Calaveras</t>
  </si>
  <si>
    <t>Colusa__CA</t>
  </si>
  <si>
    <t>Colusa</t>
  </si>
  <si>
    <t>Contra_Costa__CA</t>
  </si>
  <si>
    <t>Contra Costa</t>
  </si>
  <si>
    <t>Del_Norte__CA</t>
  </si>
  <si>
    <t>Del Norte</t>
  </si>
  <si>
    <t>El_Dorado__CA</t>
  </si>
  <si>
    <t>El Dorado</t>
  </si>
  <si>
    <t>Fresno__CA</t>
  </si>
  <si>
    <t>Fresno</t>
  </si>
  <si>
    <t>Glenn__CA</t>
  </si>
  <si>
    <t>Glenn</t>
  </si>
  <si>
    <t>Humboldt__CA</t>
  </si>
  <si>
    <t>Humboldt</t>
  </si>
  <si>
    <t>Imperial__CA</t>
  </si>
  <si>
    <t>Imperial</t>
  </si>
  <si>
    <t>Inyo__CA</t>
  </si>
  <si>
    <t>Inyo</t>
  </si>
  <si>
    <t>Kern__CA</t>
  </si>
  <si>
    <t>Kern</t>
  </si>
  <si>
    <t>Kings__CA</t>
  </si>
  <si>
    <t>Kings</t>
  </si>
  <si>
    <t>Lake__CA</t>
  </si>
  <si>
    <t>Lake</t>
  </si>
  <si>
    <t>Lassen__CA</t>
  </si>
  <si>
    <t>Lassen</t>
  </si>
  <si>
    <t>Los_Angeles__CA</t>
  </si>
  <si>
    <t>Los Angeles</t>
  </si>
  <si>
    <t>Los Angeles (City) (optional: County)</t>
  </si>
  <si>
    <t>Madera__CA</t>
  </si>
  <si>
    <t>Madera</t>
  </si>
  <si>
    <t>Marin__CA</t>
  </si>
  <si>
    <t>Marin</t>
  </si>
  <si>
    <t>San Rafael (optional: Novato)</t>
  </si>
  <si>
    <t>Mariposa__CA</t>
  </si>
  <si>
    <t>Mariposa</t>
  </si>
  <si>
    <t>Mendocino__CA</t>
  </si>
  <si>
    <t>Mendocino</t>
  </si>
  <si>
    <t>Merced__CA</t>
  </si>
  <si>
    <t>Merced</t>
  </si>
  <si>
    <t>Modoc__CA</t>
  </si>
  <si>
    <t>Modoc</t>
  </si>
  <si>
    <t>Mono__CA</t>
  </si>
  <si>
    <t>Mono</t>
  </si>
  <si>
    <t>Monterey__CA</t>
  </si>
  <si>
    <t>Monterey</t>
  </si>
  <si>
    <t>Marina</t>
  </si>
  <si>
    <t>Napa__CA</t>
  </si>
  <si>
    <t>Napa</t>
  </si>
  <si>
    <t>Nevada__CA</t>
  </si>
  <si>
    <t>Orange__CA</t>
  </si>
  <si>
    <t>Orange</t>
  </si>
  <si>
    <t>Placer__CA</t>
  </si>
  <si>
    <t>Placer</t>
  </si>
  <si>
    <t>Plumas__CA</t>
  </si>
  <si>
    <t>Plumas</t>
  </si>
  <si>
    <t>Riverside__CA</t>
  </si>
  <si>
    <t>Riverside</t>
  </si>
  <si>
    <t>Riverside (optional: Indio)</t>
  </si>
  <si>
    <t>Sacramento__CA</t>
  </si>
  <si>
    <t>Sacramento</t>
  </si>
  <si>
    <t>San_Benito__CA</t>
  </si>
  <si>
    <t>San Benito</t>
  </si>
  <si>
    <t>San_Bernardino__CA</t>
  </si>
  <si>
    <t>San Bernardino</t>
  </si>
  <si>
    <t>Ontario</t>
  </si>
  <si>
    <t>San_Diego__CA</t>
  </si>
  <si>
    <t>San Diego</t>
  </si>
  <si>
    <t>San_Francisco__CA</t>
  </si>
  <si>
    <t>San Francisco</t>
  </si>
  <si>
    <t>Oceanside (optional: Southeast San Francisco)</t>
  </si>
  <si>
    <t>San_Joaquin__CA</t>
  </si>
  <si>
    <t>San Joaquin</t>
  </si>
  <si>
    <t>San_Luis_Obispo__CA</t>
  </si>
  <si>
    <t>San Luis Obispo</t>
  </si>
  <si>
    <t>Paso Robles</t>
  </si>
  <si>
    <t>San_Mateo__CA</t>
  </si>
  <si>
    <t>San Mateo</t>
  </si>
  <si>
    <t>Redwood City</t>
  </si>
  <si>
    <t>Santa_Barbara__CA</t>
  </si>
  <si>
    <t>Santa Barbara</t>
  </si>
  <si>
    <t>Lompoc</t>
  </si>
  <si>
    <t>Santa_Clara__CA</t>
  </si>
  <si>
    <t>Santa Clara</t>
  </si>
  <si>
    <t>Palo Alto (optional San Jose/Sunnyvale/Gilroy)</t>
  </si>
  <si>
    <t>Santa_Cruz__CA</t>
  </si>
  <si>
    <t>Shasta__CA</t>
  </si>
  <si>
    <t>Shasta</t>
  </si>
  <si>
    <t>Sierra__CA</t>
  </si>
  <si>
    <t>Sierra</t>
  </si>
  <si>
    <t>Siskiyou__CA</t>
  </si>
  <si>
    <t>Siskiyou</t>
  </si>
  <si>
    <t>Solano__CA</t>
  </si>
  <si>
    <t>Solano</t>
  </si>
  <si>
    <t>Vallejo</t>
  </si>
  <si>
    <t>Sonoma__CA</t>
  </si>
  <si>
    <t>Sonoma</t>
  </si>
  <si>
    <t>Santa Rosa</t>
  </si>
  <si>
    <t>Stanislaus__CA</t>
  </si>
  <si>
    <t>Stanislaus</t>
  </si>
  <si>
    <t>Turlock</t>
  </si>
  <si>
    <t>Sutter__CA</t>
  </si>
  <si>
    <t>Sutter</t>
  </si>
  <si>
    <t>Tehama__CA</t>
  </si>
  <si>
    <t>Tehama</t>
  </si>
  <si>
    <t>Trinity__CA</t>
  </si>
  <si>
    <t>Trinity</t>
  </si>
  <si>
    <t>Tulare__CA</t>
  </si>
  <si>
    <t>Tulare</t>
  </si>
  <si>
    <t>Tuolumne__CA</t>
  </si>
  <si>
    <t>Tuolumne</t>
  </si>
  <si>
    <t>Ventura__CA</t>
  </si>
  <si>
    <t>Ventura</t>
  </si>
  <si>
    <t>Yolo__CA</t>
  </si>
  <si>
    <t>Yolo</t>
  </si>
  <si>
    <t>Davis (optional: Woodland)</t>
  </si>
  <si>
    <t>Yuba__CA</t>
  </si>
  <si>
    <t>Yuba</t>
  </si>
  <si>
    <t>Adams__CO</t>
  </si>
  <si>
    <t>COLORADO</t>
  </si>
  <si>
    <t>Adams</t>
  </si>
  <si>
    <t>Alamosa__CO</t>
  </si>
  <si>
    <t>Alamosa</t>
  </si>
  <si>
    <t>Arapahoe__CO</t>
  </si>
  <si>
    <t>Arapahoe</t>
  </si>
  <si>
    <t>Archuleta__CO</t>
  </si>
  <si>
    <t>Archuleta</t>
  </si>
  <si>
    <t>Baca__CO</t>
  </si>
  <si>
    <t>Baca</t>
  </si>
  <si>
    <t>Bent__CO</t>
  </si>
  <si>
    <t>Bent</t>
  </si>
  <si>
    <t>Boulder__CO</t>
  </si>
  <si>
    <t>Boulder</t>
  </si>
  <si>
    <t>Broomfield__CO</t>
  </si>
  <si>
    <t>Broomfield</t>
  </si>
  <si>
    <t>Chaffee__CO</t>
  </si>
  <si>
    <t>Chaffee</t>
  </si>
  <si>
    <t>Cheyenne__CO</t>
  </si>
  <si>
    <t>Cheyenne</t>
  </si>
  <si>
    <t>Clear_Creek__CO</t>
  </si>
  <si>
    <t>Clear Creek</t>
  </si>
  <si>
    <t>Conejos__CO</t>
  </si>
  <si>
    <t>Conejos</t>
  </si>
  <si>
    <t>Costilla__CO</t>
  </si>
  <si>
    <t>Costilla</t>
  </si>
  <si>
    <t>Crowley__CO</t>
  </si>
  <si>
    <t>Crowley</t>
  </si>
  <si>
    <t>Custer__CO</t>
  </si>
  <si>
    <t>Custer</t>
  </si>
  <si>
    <t>Delta__CO</t>
  </si>
  <si>
    <t>Delta</t>
  </si>
  <si>
    <t>Denver__CO</t>
  </si>
  <si>
    <t>Denver</t>
  </si>
  <si>
    <t>Dolores__CO</t>
  </si>
  <si>
    <t>Dolores</t>
  </si>
  <si>
    <t>Douglas__CO</t>
  </si>
  <si>
    <t>Douglas</t>
  </si>
  <si>
    <t>South Parker (optional: North Parker)</t>
  </si>
  <si>
    <t>Eagle__CO</t>
  </si>
  <si>
    <t>Eagle</t>
  </si>
  <si>
    <t>El_Paso__CO</t>
  </si>
  <si>
    <t>El Paso</t>
  </si>
  <si>
    <t>Elbert__CO</t>
  </si>
  <si>
    <t>Elbert</t>
  </si>
  <si>
    <t>Fremont__CO</t>
  </si>
  <si>
    <t>Garfield__CO</t>
  </si>
  <si>
    <t>Garfield</t>
  </si>
  <si>
    <t>Gilpin__CO</t>
  </si>
  <si>
    <t>Gilpin</t>
  </si>
  <si>
    <t>Grand__CO</t>
  </si>
  <si>
    <t>Grand</t>
  </si>
  <si>
    <t>Gunnison__CO</t>
  </si>
  <si>
    <t>Gunnison</t>
  </si>
  <si>
    <t>Hinsdale__CO</t>
  </si>
  <si>
    <t>Hinsdale</t>
  </si>
  <si>
    <t>Huerfano__CO</t>
  </si>
  <si>
    <t>Huerfano</t>
  </si>
  <si>
    <t>Jackson__CO</t>
  </si>
  <si>
    <t>Jefferson__CO</t>
  </si>
  <si>
    <t>Kiowa__CO</t>
  </si>
  <si>
    <t>Kiowa</t>
  </si>
  <si>
    <t>Kit_Carson__CO</t>
  </si>
  <si>
    <t>Kit Carson</t>
  </si>
  <si>
    <t>La_Plata__CO</t>
  </si>
  <si>
    <t>La Plata</t>
  </si>
  <si>
    <t>Lake__CO</t>
  </si>
  <si>
    <t>Larimer__CO</t>
  </si>
  <si>
    <t>Larimer</t>
  </si>
  <si>
    <t>Las_Animas__CO</t>
  </si>
  <si>
    <t>Las Animas</t>
  </si>
  <si>
    <t>Lincoln__CO</t>
  </si>
  <si>
    <t>Logan__CO</t>
  </si>
  <si>
    <t>Mesa__CO</t>
  </si>
  <si>
    <t>Mesa</t>
  </si>
  <si>
    <t>Mineral__CO</t>
  </si>
  <si>
    <t>Mineral</t>
  </si>
  <si>
    <t>Moffat__CO</t>
  </si>
  <si>
    <t>Moffat</t>
  </si>
  <si>
    <t>Montezuma__CO</t>
  </si>
  <si>
    <t>Montezuma</t>
  </si>
  <si>
    <t>Montrose__CO</t>
  </si>
  <si>
    <t>Montrose</t>
  </si>
  <si>
    <t>Morgan__CO</t>
  </si>
  <si>
    <t>Otero__CO</t>
  </si>
  <si>
    <t>Otero</t>
  </si>
  <si>
    <t>Ouray__CO</t>
  </si>
  <si>
    <t>Ouray</t>
  </si>
  <si>
    <t>Park__CO</t>
  </si>
  <si>
    <t>Park</t>
  </si>
  <si>
    <t>Phillips__CO</t>
  </si>
  <si>
    <t>Pitkin__CO</t>
  </si>
  <si>
    <t>Pitkin</t>
  </si>
  <si>
    <t>Prowers__CO</t>
  </si>
  <si>
    <t>Prowers</t>
  </si>
  <si>
    <t>Pueblo__CO</t>
  </si>
  <si>
    <t>Pueblo</t>
  </si>
  <si>
    <t>Rio_Blanco__CO</t>
  </si>
  <si>
    <t>Rio Blanco</t>
  </si>
  <si>
    <t>Rio_Grande__CO</t>
  </si>
  <si>
    <t>Rio Grande</t>
  </si>
  <si>
    <t>Routt__CO</t>
  </si>
  <si>
    <t>Routt</t>
  </si>
  <si>
    <t>Saguache__CO</t>
  </si>
  <si>
    <t>Saguache</t>
  </si>
  <si>
    <t>San_Juan__CO</t>
  </si>
  <si>
    <t>San Juan</t>
  </si>
  <si>
    <t>San_Miguel__CO</t>
  </si>
  <si>
    <t>San Miguel</t>
  </si>
  <si>
    <t>Sedgwick__CO</t>
  </si>
  <si>
    <t>Sedgwick</t>
  </si>
  <si>
    <t>Summit__CO</t>
  </si>
  <si>
    <t>Summit</t>
  </si>
  <si>
    <t>Teller__CO</t>
  </si>
  <si>
    <t>Teller</t>
  </si>
  <si>
    <t>Washington__CO</t>
  </si>
  <si>
    <t>Weld__CO</t>
  </si>
  <si>
    <t>Weld</t>
  </si>
  <si>
    <t>Yuma__CO</t>
  </si>
  <si>
    <t>Lower_Connecticut_River_Valley__CT</t>
  </si>
  <si>
    <t>CONNECTICUT</t>
  </si>
  <si>
    <t xml:space="preserve">Lower Connecticut River Valley </t>
  </si>
  <si>
    <t>Naugatuck_Valley__CT</t>
  </si>
  <si>
    <t xml:space="preserve">Naugatuck Valley </t>
  </si>
  <si>
    <t>Western_Connecticut__CT</t>
  </si>
  <si>
    <t xml:space="preserve">Western Connecticut </t>
  </si>
  <si>
    <t>Northwest_Hills__CT</t>
  </si>
  <si>
    <t xml:space="preserve">Northwest Hills </t>
  </si>
  <si>
    <t>Capitol__CT</t>
  </si>
  <si>
    <t xml:space="preserve">Capitol </t>
  </si>
  <si>
    <t>Southeastern_Connecticut__CT</t>
  </si>
  <si>
    <t xml:space="preserve">Southeastern Connecticut </t>
  </si>
  <si>
    <t>South_Central_Connecticut__CT</t>
  </si>
  <si>
    <t xml:space="preserve">South Central Connecticut </t>
  </si>
  <si>
    <t>Northeastern_Connecticut__CT</t>
  </si>
  <si>
    <t xml:space="preserve">Northeastern Connecticut </t>
  </si>
  <si>
    <t>Greater_Bridgeport__CT</t>
  </si>
  <si>
    <t xml:space="preserve">Greater Bridgeport </t>
  </si>
  <si>
    <t>Stamford</t>
  </si>
  <si>
    <t>Washington__DC</t>
  </si>
  <si>
    <t>DIST. OF COLUMBIA</t>
  </si>
  <si>
    <t>Kent__DE</t>
  </si>
  <si>
    <t>DELAWARE</t>
  </si>
  <si>
    <t>Kent</t>
  </si>
  <si>
    <t>New_Castle__DE</t>
  </si>
  <si>
    <t>New Castle</t>
  </si>
  <si>
    <t>Sussex__DE</t>
  </si>
  <si>
    <t>Sussex</t>
  </si>
  <si>
    <t>Seaford</t>
  </si>
  <si>
    <t>Alachua__FL</t>
  </si>
  <si>
    <t>FLORIDA</t>
  </si>
  <si>
    <t>Alachua</t>
  </si>
  <si>
    <t>Baker__FL</t>
  </si>
  <si>
    <t>Baker</t>
  </si>
  <si>
    <t>Bay__FL</t>
  </si>
  <si>
    <t>Bay</t>
  </si>
  <si>
    <t>Bradford__FL</t>
  </si>
  <si>
    <t>Bradford</t>
  </si>
  <si>
    <t>Brevard__FL</t>
  </si>
  <si>
    <t>Brevard</t>
  </si>
  <si>
    <t>Broward__FL</t>
  </si>
  <si>
    <t>Broward</t>
  </si>
  <si>
    <t>Calhoun__FL</t>
  </si>
  <si>
    <t>Charlotte__FL</t>
  </si>
  <si>
    <t>Charlotte</t>
  </si>
  <si>
    <t>Citrus__FL</t>
  </si>
  <si>
    <t>Citrus</t>
  </si>
  <si>
    <t>Clay__FL</t>
  </si>
  <si>
    <t>Collier__FL</t>
  </si>
  <si>
    <t>Collier</t>
  </si>
  <si>
    <t>Columbia__FL</t>
  </si>
  <si>
    <t>DeSoto__FL</t>
  </si>
  <si>
    <t>DeSoto</t>
  </si>
  <si>
    <t>Dixie__FL</t>
  </si>
  <si>
    <t>Dixie</t>
  </si>
  <si>
    <t>Duval__FL</t>
  </si>
  <si>
    <t>Duval</t>
  </si>
  <si>
    <t>Escambia__FL</t>
  </si>
  <si>
    <t>Flagler__FL</t>
  </si>
  <si>
    <t>Flagler</t>
  </si>
  <si>
    <t>Franklin__FL</t>
  </si>
  <si>
    <t>Gadsden__FL</t>
  </si>
  <si>
    <t>Gadsden</t>
  </si>
  <si>
    <t>Tallahassee</t>
  </si>
  <si>
    <t>Gilchrist__FL</t>
  </si>
  <si>
    <t>Gilchrist</t>
  </si>
  <si>
    <t>Glades__FL</t>
  </si>
  <si>
    <t>Glades</t>
  </si>
  <si>
    <t>Gulf__FL</t>
  </si>
  <si>
    <t>Gulf</t>
  </si>
  <si>
    <t>Hamilton__FL</t>
  </si>
  <si>
    <t>Hamilton</t>
  </si>
  <si>
    <t>Hardee__FL</t>
  </si>
  <si>
    <t>Hardee</t>
  </si>
  <si>
    <t>Hendry__FL</t>
  </si>
  <si>
    <t>Hendry</t>
  </si>
  <si>
    <t>Hernando__FL</t>
  </si>
  <si>
    <t>Hernando</t>
  </si>
  <si>
    <t>Highlands__FL</t>
  </si>
  <si>
    <t>Highlands</t>
  </si>
  <si>
    <t>Hillsborough__FL</t>
  </si>
  <si>
    <t>Hillsborough</t>
  </si>
  <si>
    <t>Holmes__FL</t>
  </si>
  <si>
    <t>Holmes</t>
  </si>
  <si>
    <t>Indian_River__FL</t>
  </si>
  <si>
    <t>Indian River</t>
  </si>
  <si>
    <t>Jackson__FL</t>
  </si>
  <si>
    <t>Jefferson__FL</t>
  </si>
  <si>
    <t>Lafayette__FL</t>
  </si>
  <si>
    <t>Lake__FL</t>
  </si>
  <si>
    <t>Lee__FL</t>
  </si>
  <si>
    <t>Leon__FL</t>
  </si>
  <si>
    <t>Leon</t>
  </si>
  <si>
    <t>Levy__FL</t>
  </si>
  <si>
    <t>Levy</t>
  </si>
  <si>
    <t>Liberty__FL</t>
  </si>
  <si>
    <t>Liberty</t>
  </si>
  <si>
    <t>Madison__FL</t>
  </si>
  <si>
    <t>Manatee__FL</t>
  </si>
  <si>
    <t>Manatee</t>
  </si>
  <si>
    <t>Marion__FL</t>
  </si>
  <si>
    <t>Martin__FL</t>
  </si>
  <si>
    <t>Martin</t>
  </si>
  <si>
    <t>Jupiter</t>
  </si>
  <si>
    <t>Miami_Dade__FL</t>
  </si>
  <si>
    <t>Miami Dade</t>
  </si>
  <si>
    <t>Key Biscayne/North Miami</t>
  </si>
  <si>
    <t>Monroe__FL</t>
  </si>
  <si>
    <t>Nassau__FL</t>
  </si>
  <si>
    <t>Nassau</t>
  </si>
  <si>
    <t>Okaloosa__FL</t>
  </si>
  <si>
    <t>Okaloosa</t>
  </si>
  <si>
    <t>Okeechobee__FL</t>
  </si>
  <si>
    <t>Okeechobee</t>
  </si>
  <si>
    <t>Orange__FL</t>
  </si>
  <si>
    <t>Eastern/Northwest/South/Southwest</t>
  </si>
  <si>
    <t>Osceola__FL</t>
  </si>
  <si>
    <t>Osceola</t>
  </si>
  <si>
    <t>Palm_Beach__FL</t>
  </si>
  <si>
    <t>Palm Beach</t>
  </si>
  <si>
    <t>Pasco__FL</t>
  </si>
  <si>
    <t>Pasco</t>
  </si>
  <si>
    <t>Pinellas__FL</t>
  </si>
  <si>
    <t>Pinellas</t>
  </si>
  <si>
    <t>Northwest Saint Petersburg (optional: Southwest Saint Petersburg)</t>
  </si>
  <si>
    <t>Polk__FL</t>
  </si>
  <si>
    <t>Putnam__FL</t>
  </si>
  <si>
    <t>Putnam</t>
  </si>
  <si>
    <t>Santa_Rosa__FL</t>
  </si>
  <si>
    <t>Sarasota__FL</t>
  </si>
  <si>
    <t>Sarasota</t>
  </si>
  <si>
    <t>Seminole__FL</t>
  </si>
  <si>
    <t>Seminole</t>
  </si>
  <si>
    <t>St__Johns__FL</t>
  </si>
  <si>
    <t>St  Johns</t>
  </si>
  <si>
    <t>St__Lucie__FL</t>
  </si>
  <si>
    <t>St  Lucie</t>
  </si>
  <si>
    <t>Sumter__FL</t>
  </si>
  <si>
    <t>Suwannee__FL</t>
  </si>
  <si>
    <t>Suwannee</t>
  </si>
  <si>
    <t>Taylor__FL</t>
  </si>
  <si>
    <t>Taylor</t>
  </si>
  <si>
    <t>Union__FL</t>
  </si>
  <si>
    <t>Volusia__FL</t>
  </si>
  <si>
    <t>Volusia</t>
  </si>
  <si>
    <t>Wakulla__FL</t>
  </si>
  <si>
    <t>Wakulla</t>
  </si>
  <si>
    <t>Walton__FL</t>
  </si>
  <si>
    <t>Walton</t>
  </si>
  <si>
    <t>Washington__FL</t>
  </si>
  <si>
    <t>Appling__GA</t>
  </si>
  <si>
    <t>GEORGIA</t>
  </si>
  <si>
    <t>Appling</t>
  </si>
  <si>
    <t>Atkinson__GA</t>
  </si>
  <si>
    <t>Atkinson</t>
  </si>
  <si>
    <t>Bacon__GA</t>
  </si>
  <si>
    <t>Bacon</t>
  </si>
  <si>
    <t>Baker__GA</t>
  </si>
  <si>
    <t>Baldwin__GA</t>
  </si>
  <si>
    <t>Banks__GA</t>
  </si>
  <si>
    <t>Banks</t>
  </si>
  <si>
    <t>Barrow__GA</t>
  </si>
  <si>
    <t>Barrow</t>
  </si>
  <si>
    <t>Bartow__GA</t>
  </si>
  <si>
    <t>Bartow</t>
  </si>
  <si>
    <t>Ben_Hill__GA</t>
  </si>
  <si>
    <t>Ben Hill</t>
  </si>
  <si>
    <t>Berrien__GA</t>
  </si>
  <si>
    <t>Berrien</t>
  </si>
  <si>
    <t>Bibb__GA</t>
  </si>
  <si>
    <t>Bleckley__GA</t>
  </si>
  <si>
    <t>Bleckley</t>
  </si>
  <si>
    <t>Brantley__GA</t>
  </si>
  <si>
    <t>Brantley</t>
  </si>
  <si>
    <t>Brooks__GA</t>
  </si>
  <si>
    <t>Brooks</t>
  </si>
  <si>
    <t>Bryan__GA</t>
  </si>
  <si>
    <t>Bryan</t>
  </si>
  <si>
    <t>Bulloch__GA</t>
  </si>
  <si>
    <t>Bulloch</t>
  </si>
  <si>
    <t>Burke__GA</t>
  </si>
  <si>
    <t>Burke</t>
  </si>
  <si>
    <t>Butts__GA</t>
  </si>
  <si>
    <t>Butts</t>
  </si>
  <si>
    <t>Calhoun__GA</t>
  </si>
  <si>
    <t>Camden__GA</t>
  </si>
  <si>
    <t>Camden</t>
  </si>
  <si>
    <t>Candler__GA</t>
  </si>
  <si>
    <t>Candler</t>
  </si>
  <si>
    <t>Carroll__GA</t>
  </si>
  <si>
    <t>Catoosa__GA</t>
  </si>
  <si>
    <t>Catoosa</t>
  </si>
  <si>
    <t>Chattanooga, TN</t>
  </si>
  <si>
    <t>Charlton__GA</t>
  </si>
  <si>
    <t>Charlton</t>
  </si>
  <si>
    <t>Chatham__GA</t>
  </si>
  <si>
    <t>Chatham</t>
  </si>
  <si>
    <t>Chattahoochee__GA</t>
  </si>
  <si>
    <t>Chattahoochee</t>
  </si>
  <si>
    <t>Chattooga__GA</t>
  </si>
  <si>
    <t>Chattooga</t>
  </si>
  <si>
    <t>Cherokee__GA</t>
  </si>
  <si>
    <t>Little River, Roswell</t>
  </si>
  <si>
    <t>Clarke__GA</t>
  </si>
  <si>
    <t>Clay__GA</t>
  </si>
  <si>
    <t>Clayton__GA</t>
  </si>
  <si>
    <t>Clayton</t>
  </si>
  <si>
    <t>South River, Atlanta</t>
  </si>
  <si>
    <t>Clinch__GA</t>
  </si>
  <si>
    <t>Clinch</t>
  </si>
  <si>
    <t>Cobb__GA</t>
  </si>
  <si>
    <t>Cobb</t>
  </si>
  <si>
    <t>Big Creek, Roswell</t>
  </si>
  <si>
    <t>Coffee__GA</t>
  </si>
  <si>
    <t>Colquitt__GA</t>
  </si>
  <si>
    <t>Colquitt</t>
  </si>
  <si>
    <t>Columbia__GA</t>
  </si>
  <si>
    <t>Cook__GA</t>
  </si>
  <si>
    <t>Cook</t>
  </si>
  <si>
    <t>Coweta__GA</t>
  </si>
  <si>
    <t>Coweta</t>
  </si>
  <si>
    <t>Crawford__GA</t>
  </si>
  <si>
    <t>Crisp__GA</t>
  </si>
  <si>
    <t>Crisp</t>
  </si>
  <si>
    <t>Dade__GA</t>
  </si>
  <si>
    <t>Dade</t>
  </si>
  <si>
    <t>Dawson__GA</t>
  </si>
  <si>
    <t>Dawson</t>
  </si>
  <si>
    <t>Decatur__GA</t>
  </si>
  <si>
    <t>Decatur</t>
  </si>
  <si>
    <t>DeKalb__GA</t>
  </si>
  <si>
    <t>RM Clayton, Atlanta/South River, Atlanta</t>
  </si>
  <si>
    <t>Dodge__GA</t>
  </si>
  <si>
    <t>Dodge</t>
  </si>
  <si>
    <t>Dooly__GA</t>
  </si>
  <si>
    <t>Dooly</t>
  </si>
  <si>
    <t>Dougherty__GA</t>
  </si>
  <si>
    <t>Dougherty</t>
  </si>
  <si>
    <t>Douglas__GA</t>
  </si>
  <si>
    <t>Early__GA</t>
  </si>
  <si>
    <t>Early</t>
  </si>
  <si>
    <t>Echols__GA</t>
  </si>
  <si>
    <t>Echols</t>
  </si>
  <si>
    <t>Effingham__GA</t>
  </si>
  <si>
    <t>Effingham</t>
  </si>
  <si>
    <t>Elbert__GA</t>
  </si>
  <si>
    <t>Emanuel__GA</t>
  </si>
  <si>
    <t>Emanuel</t>
  </si>
  <si>
    <t>Evans__GA</t>
  </si>
  <si>
    <t>Evans</t>
  </si>
  <si>
    <t>Fannin__GA</t>
  </si>
  <si>
    <t>Fannin</t>
  </si>
  <si>
    <t>Fayette__GA</t>
  </si>
  <si>
    <t>Floyd__GA</t>
  </si>
  <si>
    <t>Floyd</t>
  </si>
  <si>
    <t>Forsyth__GA</t>
  </si>
  <si>
    <t>Forsyth</t>
  </si>
  <si>
    <t>Franklin__GA</t>
  </si>
  <si>
    <t>Fulton__GA</t>
  </si>
  <si>
    <t>Utoy Creek, Atlanta (Johns Creek/College Park/RM Clayton/South River/Big Creek/Little River)</t>
  </si>
  <si>
    <t>Gilmer__GA</t>
  </si>
  <si>
    <t>Gilmer</t>
  </si>
  <si>
    <t>Glascock__GA</t>
  </si>
  <si>
    <t>Glascock</t>
  </si>
  <si>
    <t>Glynn__GA</t>
  </si>
  <si>
    <t>Glynn</t>
  </si>
  <si>
    <t>Gordon__GA</t>
  </si>
  <si>
    <t>Gordon</t>
  </si>
  <si>
    <t>Grady__GA</t>
  </si>
  <si>
    <t>Grady</t>
  </si>
  <si>
    <t>Greene__GA</t>
  </si>
  <si>
    <t>Gwinnett__GA</t>
  </si>
  <si>
    <t>Gwinnett</t>
  </si>
  <si>
    <t>Habersham__GA</t>
  </si>
  <si>
    <t>Habersham</t>
  </si>
  <si>
    <t>Hall__GA</t>
  </si>
  <si>
    <t>Hall</t>
  </si>
  <si>
    <t>Hancock__GA</t>
  </si>
  <si>
    <t>Hancock</t>
  </si>
  <si>
    <t>Haralson__GA</t>
  </si>
  <si>
    <t>Haralson</t>
  </si>
  <si>
    <t>Harris__GA</t>
  </si>
  <si>
    <t>Harris</t>
  </si>
  <si>
    <t>Columbus</t>
  </si>
  <si>
    <t>Hart__GA</t>
  </si>
  <si>
    <t>Hart</t>
  </si>
  <si>
    <t>Heard__GA</t>
  </si>
  <si>
    <t>Heard</t>
  </si>
  <si>
    <t>Henry__GA</t>
  </si>
  <si>
    <t>Houston__GA</t>
  </si>
  <si>
    <t>Irwin__GA</t>
  </si>
  <si>
    <t>Irwin</t>
  </si>
  <si>
    <t>Jackson__GA</t>
  </si>
  <si>
    <t>Jasper__GA</t>
  </si>
  <si>
    <t>Jasper</t>
  </si>
  <si>
    <t>Jeff_Davis__GA</t>
  </si>
  <si>
    <t>Jeff Davis</t>
  </si>
  <si>
    <t>Jefferson__GA</t>
  </si>
  <si>
    <t>Jenkins__GA</t>
  </si>
  <si>
    <t>Jenkins</t>
  </si>
  <si>
    <t>Johnson__GA</t>
  </si>
  <si>
    <t>Jones__GA</t>
  </si>
  <si>
    <t>Jones</t>
  </si>
  <si>
    <t>Lamar__GA</t>
  </si>
  <si>
    <t>Lanier__GA</t>
  </si>
  <si>
    <t>Lanier</t>
  </si>
  <si>
    <t>Laurens__GA</t>
  </si>
  <si>
    <t>Laurens</t>
  </si>
  <si>
    <t>Lee__GA</t>
  </si>
  <si>
    <t>Liberty__GA</t>
  </si>
  <si>
    <t>Lincoln__GA</t>
  </si>
  <si>
    <t>Long__GA</t>
  </si>
  <si>
    <t>Long</t>
  </si>
  <si>
    <t>Lowndes__GA</t>
  </si>
  <si>
    <t>Lumpkin__GA</t>
  </si>
  <si>
    <t>Lumpkin</t>
  </si>
  <si>
    <t>Macon__GA</t>
  </si>
  <si>
    <t>Madison__GA</t>
  </si>
  <si>
    <t>Marion__GA</t>
  </si>
  <si>
    <t>McDuffie__GA</t>
  </si>
  <si>
    <t>McDuffie</t>
  </si>
  <si>
    <t>McIntosh__GA</t>
  </si>
  <si>
    <t>McIntosh</t>
  </si>
  <si>
    <t>Meriwether__GA</t>
  </si>
  <si>
    <t>Meriwether</t>
  </si>
  <si>
    <t>Miller__GA</t>
  </si>
  <si>
    <t>Mitchell__GA</t>
  </si>
  <si>
    <t>Mitchell</t>
  </si>
  <si>
    <t>Monroe__GA</t>
  </si>
  <si>
    <t>Montgomery__GA</t>
  </si>
  <si>
    <t>Morgan__GA</t>
  </si>
  <si>
    <t>Murray__GA</t>
  </si>
  <si>
    <t>Murray</t>
  </si>
  <si>
    <t>Muscogee__GA</t>
  </si>
  <si>
    <t>Muscogee</t>
  </si>
  <si>
    <t>Newton__GA</t>
  </si>
  <si>
    <t>Oconee__GA</t>
  </si>
  <si>
    <t>Oconee</t>
  </si>
  <si>
    <t>Oglethorpe__GA</t>
  </si>
  <si>
    <t>Oglethorpe</t>
  </si>
  <si>
    <t>Paulding__GA</t>
  </si>
  <si>
    <t>Paulding</t>
  </si>
  <si>
    <t>Peach__GA</t>
  </si>
  <si>
    <t>Peach</t>
  </si>
  <si>
    <t>Pickens__GA</t>
  </si>
  <si>
    <t>Pierce__GA</t>
  </si>
  <si>
    <t>Pierce</t>
  </si>
  <si>
    <t>Pike__GA</t>
  </si>
  <si>
    <t>Polk__GA</t>
  </si>
  <si>
    <t>Pulaski__GA</t>
  </si>
  <si>
    <t>Putnam__GA</t>
  </si>
  <si>
    <t>Quitman__GA</t>
  </si>
  <si>
    <t>Quitman</t>
  </si>
  <si>
    <t>Rabun__GA</t>
  </si>
  <si>
    <t>Rabun</t>
  </si>
  <si>
    <t>Randolph__GA</t>
  </si>
  <si>
    <t>Richmond__GA</t>
  </si>
  <si>
    <t>Richmond</t>
  </si>
  <si>
    <t>Rockdale__GA</t>
  </si>
  <si>
    <t>Rockdale</t>
  </si>
  <si>
    <t>Schley__GA</t>
  </si>
  <si>
    <t>Schley</t>
  </si>
  <si>
    <t>Screven__GA</t>
  </si>
  <si>
    <t>Screven</t>
  </si>
  <si>
    <t>Seminole__GA</t>
  </si>
  <si>
    <t>Spalding__GA</t>
  </si>
  <si>
    <t>Spalding</t>
  </si>
  <si>
    <t>Stephens__GA</t>
  </si>
  <si>
    <t>Stephens</t>
  </si>
  <si>
    <t>Stewart__GA</t>
  </si>
  <si>
    <t>Stewart</t>
  </si>
  <si>
    <t>Sumter__GA</t>
  </si>
  <si>
    <t>Talbot__GA</t>
  </si>
  <si>
    <t>Talbot</t>
  </si>
  <si>
    <t>Taliaferro__GA</t>
  </si>
  <si>
    <t>Taliaferro</t>
  </si>
  <si>
    <t>Tattnall__GA</t>
  </si>
  <si>
    <t>Tattnall</t>
  </si>
  <si>
    <t>Taylor__GA</t>
  </si>
  <si>
    <t>Telfair__GA</t>
  </si>
  <si>
    <t>Telfair</t>
  </si>
  <si>
    <t>Terrell__GA</t>
  </si>
  <si>
    <t>Terrell</t>
  </si>
  <si>
    <t>Thomas__GA</t>
  </si>
  <si>
    <t>Thomas</t>
  </si>
  <si>
    <t>Tift__GA</t>
  </si>
  <si>
    <t>Tift</t>
  </si>
  <si>
    <t>Toombs__GA</t>
  </si>
  <si>
    <t>Toombs</t>
  </si>
  <si>
    <t>Towns__GA</t>
  </si>
  <si>
    <t>Towns</t>
  </si>
  <si>
    <t>Treutlen__GA</t>
  </si>
  <si>
    <t>Treutlen</t>
  </si>
  <si>
    <t>Troup__GA</t>
  </si>
  <si>
    <t>Troup</t>
  </si>
  <si>
    <t>Turner__GA</t>
  </si>
  <si>
    <t>Turner</t>
  </si>
  <si>
    <t>Twiggs__GA</t>
  </si>
  <si>
    <t>Twiggs</t>
  </si>
  <si>
    <t>Union__GA</t>
  </si>
  <si>
    <t>Upson__GA</t>
  </si>
  <si>
    <t>Upson</t>
  </si>
  <si>
    <t>Walker__GA</t>
  </si>
  <si>
    <t>Walton__GA</t>
  </si>
  <si>
    <t>Ware__GA</t>
  </si>
  <si>
    <t>Ware</t>
  </si>
  <si>
    <t>Warren__GA</t>
  </si>
  <si>
    <t>Warren</t>
  </si>
  <si>
    <t>Washington__GA</t>
  </si>
  <si>
    <t>Wayne__GA</t>
  </si>
  <si>
    <t>Wayne</t>
  </si>
  <si>
    <t>Webster__GA</t>
  </si>
  <si>
    <t>Webster</t>
  </si>
  <si>
    <t>Wheeler__GA</t>
  </si>
  <si>
    <t>Wheeler</t>
  </si>
  <si>
    <t>White__GA</t>
  </si>
  <si>
    <t>Whitfield__GA</t>
  </si>
  <si>
    <t>Whitfield</t>
  </si>
  <si>
    <t>Wilcox__GA</t>
  </si>
  <si>
    <t>Wilkes__GA</t>
  </si>
  <si>
    <t>Wilkes</t>
  </si>
  <si>
    <t>Wilkinson__GA</t>
  </si>
  <si>
    <t>Wilkinson</t>
  </si>
  <si>
    <t>Worth__GA</t>
  </si>
  <si>
    <t>Worth</t>
  </si>
  <si>
    <t>Hawaii__HI</t>
  </si>
  <si>
    <t>HAWAII</t>
  </si>
  <si>
    <t>Hawaii</t>
  </si>
  <si>
    <t>Honolulu__HI</t>
  </si>
  <si>
    <t>Honolulu</t>
  </si>
  <si>
    <t>Hanouliuli/Sand Island</t>
  </si>
  <si>
    <t>Kalawao__HI</t>
  </si>
  <si>
    <t>Kalawao</t>
  </si>
  <si>
    <t>Kauai__HI</t>
  </si>
  <si>
    <t>Kauai</t>
  </si>
  <si>
    <t>Maui__HI</t>
  </si>
  <si>
    <t>Maui</t>
  </si>
  <si>
    <t>Adair__IA</t>
  </si>
  <si>
    <t>IOWA</t>
  </si>
  <si>
    <t>Adair</t>
  </si>
  <si>
    <t>Adams__IA</t>
  </si>
  <si>
    <t>Allamakee__IA</t>
  </si>
  <si>
    <t>Allamakee</t>
  </si>
  <si>
    <t>Appanoose__IA</t>
  </si>
  <si>
    <t>Appanoose</t>
  </si>
  <si>
    <t>Audubon__IA</t>
  </si>
  <si>
    <t>Audubon</t>
  </si>
  <si>
    <t>Benton__IA</t>
  </si>
  <si>
    <t>Black_Hawk__IA</t>
  </si>
  <si>
    <t>Black Hawk</t>
  </si>
  <si>
    <t>Boone__IA</t>
  </si>
  <si>
    <t>Bremer__IA</t>
  </si>
  <si>
    <t>Bremer</t>
  </si>
  <si>
    <t>Buchanan__IA</t>
  </si>
  <si>
    <t>Buchanan</t>
  </si>
  <si>
    <t>Buena_Vista__IA</t>
  </si>
  <si>
    <t>Buena Vista</t>
  </si>
  <si>
    <t>Butler__IA</t>
  </si>
  <si>
    <t>Calhoun__IA</t>
  </si>
  <si>
    <t>Carroll__IA</t>
  </si>
  <si>
    <t>Cass__IA</t>
  </si>
  <si>
    <t>Cass</t>
  </si>
  <si>
    <t>Cedar__IA</t>
  </si>
  <si>
    <t>Cedar</t>
  </si>
  <si>
    <t>Cerro_Gordo__IA</t>
  </si>
  <si>
    <t>Cerro Gordo</t>
  </si>
  <si>
    <t>Cherokee__IA</t>
  </si>
  <si>
    <t>Chickasaw__IA</t>
  </si>
  <si>
    <t>Chickasaw</t>
  </si>
  <si>
    <t>Clarke__IA</t>
  </si>
  <si>
    <t>Clay__IA</t>
  </si>
  <si>
    <t>Clayton__IA</t>
  </si>
  <si>
    <t>Clinton__IA</t>
  </si>
  <si>
    <t>Clinton</t>
  </si>
  <si>
    <t>Crawford__IA</t>
  </si>
  <si>
    <t>Dallas__IA</t>
  </si>
  <si>
    <t>Davis__IA</t>
  </si>
  <si>
    <t>Davis</t>
  </si>
  <si>
    <t>Decatur__IA</t>
  </si>
  <si>
    <t>Delaware__IA</t>
  </si>
  <si>
    <t>Delaware</t>
  </si>
  <si>
    <t>Des_Moines__IA</t>
  </si>
  <si>
    <t>Des Moines</t>
  </si>
  <si>
    <t>Dickinson__IA</t>
  </si>
  <si>
    <t>Dickinson</t>
  </si>
  <si>
    <t>Dubuque__IA</t>
  </si>
  <si>
    <t>Dubuque</t>
  </si>
  <si>
    <t>Emmet__IA</t>
  </si>
  <si>
    <t>Emmet</t>
  </si>
  <si>
    <t>Fayette__IA</t>
  </si>
  <si>
    <t>Floyd__IA</t>
  </si>
  <si>
    <t>Franklin__IA</t>
  </si>
  <si>
    <t>Fremont__IA</t>
  </si>
  <si>
    <t>Greene__IA</t>
  </si>
  <si>
    <t>Grundy__IA</t>
  </si>
  <si>
    <t>Grundy</t>
  </si>
  <si>
    <t>Guthrie__IA</t>
  </si>
  <si>
    <t>Guthrie</t>
  </si>
  <si>
    <t>Hamilton__IA</t>
  </si>
  <si>
    <t>Hancock__IA</t>
  </si>
  <si>
    <t>Hardin__IA</t>
  </si>
  <si>
    <t>Hardin</t>
  </si>
  <si>
    <t>Harrison__IA</t>
  </si>
  <si>
    <t>Henry__IA</t>
  </si>
  <si>
    <t>Howard__IA</t>
  </si>
  <si>
    <t>Humboldt__IA</t>
  </si>
  <si>
    <t>Ida__IA</t>
  </si>
  <si>
    <t>Ida</t>
  </si>
  <si>
    <t>Iowa__IA</t>
  </si>
  <si>
    <t>Iowa</t>
  </si>
  <si>
    <t>Jackson__IA</t>
  </si>
  <si>
    <t>Jasper__IA</t>
  </si>
  <si>
    <t>Jefferson__IA</t>
  </si>
  <si>
    <t>Johnson__IA</t>
  </si>
  <si>
    <t>Coralville</t>
  </si>
  <si>
    <t>Jones__IA</t>
  </si>
  <si>
    <t>Keokuk__IA</t>
  </si>
  <si>
    <t>Keokuk</t>
  </si>
  <si>
    <t>Kossuth__IA</t>
  </si>
  <si>
    <t>Kossuth</t>
  </si>
  <si>
    <t>Lee__IA</t>
  </si>
  <si>
    <t>Linn__IA</t>
  </si>
  <si>
    <t>Linn</t>
  </si>
  <si>
    <t>Louisa__IA</t>
  </si>
  <si>
    <t>Louisa</t>
  </si>
  <si>
    <t>Lucas__IA</t>
  </si>
  <si>
    <t>Lucas</t>
  </si>
  <si>
    <t>Lyon__IA</t>
  </si>
  <si>
    <t>Lyon</t>
  </si>
  <si>
    <t>Madison__IA</t>
  </si>
  <si>
    <t>Mahaska__IA</t>
  </si>
  <si>
    <t>Mahaska</t>
  </si>
  <si>
    <t>Marion__IA</t>
  </si>
  <si>
    <t>Marshall__IA</t>
  </si>
  <si>
    <t>Marshalltown</t>
  </si>
  <si>
    <t>Mills__IA</t>
  </si>
  <si>
    <t>Mills</t>
  </si>
  <si>
    <t>Mitchell__IA</t>
  </si>
  <si>
    <t>Monona__IA</t>
  </si>
  <si>
    <t>Monona</t>
  </si>
  <si>
    <t>Monroe__IA</t>
  </si>
  <si>
    <t>Montgomery__IA</t>
  </si>
  <si>
    <t>Muscatine__IA</t>
  </si>
  <si>
    <t>Muscatine</t>
  </si>
  <si>
    <t>O_Brien__IA</t>
  </si>
  <si>
    <t>O Brien</t>
  </si>
  <si>
    <t>Osceola__IA</t>
  </si>
  <si>
    <t>Page__IA</t>
  </si>
  <si>
    <t>Page</t>
  </si>
  <si>
    <t>Palo_Alto__IA</t>
  </si>
  <si>
    <t>Palo Alto</t>
  </si>
  <si>
    <t>Plymouth__IA</t>
  </si>
  <si>
    <t>Plymouth</t>
  </si>
  <si>
    <t>Pocahontas__IA</t>
  </si>
  <si>
    <t>Pocahontas</t>
  </si>
  <si>
    <t>Polk__IA</t>
  </si>
  <si>
    <t>Pottawattamie__IA</t>
  </si>
  <si>
    <t>Pottawattamie</t>
  </si>
  <si>
    <t>Poweshiek__IA</t>
  </si>
  <si>
    <t>Poweshiek</t>
  </si>
  <si>
    <t>Ringgold__IA</t>
  </si>
  <si>
    <t>Ringgold</t>
  </si>
  <si>
    <t>Sac__IA</t>
  </si>
  <si>
    <t>Sac</t>
  </si>
  <si>
    <t>Scott__IA</t>
  </si>
  <si>
    <t>Shelby__IA</t>
  </si>
  <si>
    <t>Sioux__IA</t>
  </si>
  <si>
    <t>Sioux</t>
  </si>
  <si>
    <t>Story__IA</t>
  </si>
  <si>
    <t>Story</t>
  </si>
  <si>
    <t>Tama__IA</t>
  </si>
  <si>
    <t>Tama</t>
  </si>
  <si>
    <t>Taylor__IA</t>
  </si>
  <si>
    <t>Union__IA</t>
  </si>
  <si>
    <t>Van_Buren__IA</t>
  </si>
  <si>
    <t>Wapello__IA</t>
  </si>
  <si>
    <t>Wapello</t>
  </si>
  <si>
    <t>Ottumwa</t>
  </si>
  <si>
    <t>Warren__IA</t>
  </si>
  <si>
    <t>Washington__IA</t>
  </si>
  <si>
    <t>Wayne__IA</t>
  </si>
  <si>
    <t>Webster__IA</t>
  </si>
  <si>
    <t>Winnebago__IA</t>
  </si>
  <si>
    <t>Winnebago</t>
  </si>
  <si>
    <t>Winneshiek__IA</t>
  </si>
  <si>
    <t>Winneshiek</t>
  </si>
  <si>
    <t>Woodbury__IA</t>
  </si>
  <si>
    <t>Woodbury</t>
  </si>
  <si>
    <t>Worth__IA</t>
  </si>
  <si>
    <t>Wright__IA</t>
  </si>
  <si>
    <t>Wright</t>
  </si>
  <si>
    <t>Ada__ID</t>
  </si>
  <si>
    <t>IDAHO</t>
  </si>
  <si>
    <t>Ada</t>
  </si>
  <si>
    <t>West Boise</t>
  </si>
  <si>
    <t>Adams__ID</t>
  </si>
  <si>
    <t>Bannock__ID</t>
  </si>
  <si>
    <t>Bannock</t>
  </si>
  <si>
    <t>Bear_Lake__ID</t>
  </si>
  <si>
    <t>Bear Lake</t>
  </si>
  <si>
    <t>Benewah__ID</t>
  </si>
  <si>
    <t>Benewah</t>
  </si>
  <si>
    <t>Bingham__ID</t>
  </si>
  <si>
    <t>Bingham</t>
  </si>
  <si>
    <t>Blaine__ID</t>
  </si>
  <si>
    <t>Blaine</t>
  </si>
  <si>
    <t>Boise__ID</t>
  </si>
  <si>
    <t>Boise</t>
  </si>
  <si>
    <t>Bonner__ID</t>
  </si>
  <si>
    <t>Bonner</t>
  </si>
  <si>
    <t>Bonneville__ID</t>
  </si>
  <si>
    <t>Bonneville</t>
  </si>
  <si>
    <t>Boundary__ID</t>
  </si>
  <si>
    <t>Boundary</t>
  </si>
  <si>
    <t>Butte__ID</t>
  </si>
  <si>
    <t>Camas__ID</t>
  </si>
  <si>
    <t>Camas</t>
  </si>
  <si>
    <t>Canyon__ID</t>
  </si>
  <si>
    <t>Canyon</t>
  </si>
  <si>
    <t>Caribou__ID</t>
  </si>
  <si>
    <t>Caribou</t>
  </si>
  <si>
    <t>Cassia__ID</t>
  </si>
  <si>
    <t>Cassia</t>
  </si>
  <si>
    <t>Clark__ID</t>
  </si>
  <si>
    <t>Clearwater__ID</t>
  </si>
  <si>
    <t>Clearwater</t>
  </si>
  <si>
    <t>Custer__ID</t>
  </si>
  <si>
    <t>Elmore__ID</t>
  </si>
  <si>
    <t>Franklin__ID</t>
  </si>
  <si>
    <t>Fremont__ID</t>
  </si>
  <si>
    <t>Gem__ID</t>
  </si>
  <si>
    <t>Gem</t>
  </si>
  <si>
    <t>Gooding__ID</t>
  </si>
  <si>
    <t>Gooding</t>
  </si>
  <si>
    <t>Idaho__ID</t>
  </si>
  <si>
    <t>Idaho</t>
  </si>
  <si>
    <t>Jefferson__ID</t>
  </si>
  <si>
    <t>Jerome__ID</t>
  </si>
  <si>
    <t>Jerome</t>
  </si>
  <si>
    <t>Kootenai__ID</t>
  </si>
  <si>
    <t>Kootenai</t>
  </si>
  <si>
    <t>Coeur d'Alene</t>
  </si>
  <si>
    <t>Latah__ID</t>
  </si>
  <si>
    <t>Latah</t>
  </si>
  <si>
    <t>Lemhi__ID</t>
  </si>
  <si>
    <t>Lemhi</t>
  </si>
  <si>
    <t>Lewis__ID</t>
  </si>
  <si>
    <t>Lewis</t>
  </si>
  <si>
    <t>Lincoln__ID</t>
  </si>
  <si>
    <t>Madison__ID</t>
  </si>
  <si>
    <t>Minidoka__ID</t>
  </si>
  <si>
    <t>Minidoka</t>
  </si>
  <si>
    <t>Nez_Perce__ID</t>
  </si>
  <si>
    <t>Nez Perce</t>
  </si>
  <si>
    <t>Oneida__ID</t>
  </si>
  <si>
    <t>Oneida</t>
  </si>
  <si>
    <t>Owyhee__ID</t>
  </si>
  <si>
    <t>Owyhee</t>
  </si>
  <si>
    <t>Payette__ID</t>
  </si>
  <si>
    <t>Payette</t>
  </si>
  <si>
    <t>Power__ID</t>
  </si>
  <si>
    <t>Power</t>
  </si>
  <si>
    <t>Shoshone__ID</t>
  </si>
  <si>
    <t>Shoshone</t>
  </si>
  <si>
    <t>Teton__ID</t>
  </si>
  <si>
    <t>Teton</t>
  </si>
  <si>
    <t>Twin_Falls__ID</t>
  </si>
  <si>
    <t>Twin Falls</t>
  </si>
  <si>
    <t>Valley__ID</t>
  </si>
  <si>
    <t>Valley</t>
  </si>
  <si>
    <t>Washington__ID</t>
  </si>
  <si>
    <t>Adams__IL</t>
  </si>
  <si>
    <t>ILLINOIS</t>
  </si>
  <si>
    <t>Alexander__IL</t>
  </si>
  <si>
    <t>Alexander</t>
  </si>
  <si>
    <t>Bond__IL</t>
  </si>
  <si>
    <t>Bond</t>
  </si>
  <si>
    <t>Boone__IL</t>
  </si>
  <si>
    <t>Brown__IL</t>
  </si>
  <si>
    <t>Brown</t>
  </si>
  <si>
    <t>Bureau__IL</t>
  </si>
  <si>
    <t>Bureau</t>
  </si>
  <si>
    <t>Calhoun__IL</t>
  </si>
  <si>
    <t>Carroll__IL</t>
  </si>
  <si>
    <t>Cass__IL</t>
  </si>
  <si>
    <t>Champaign__IL</t>
  </si>
  <si>
    <t>Champaign</t>
  </si>
  <si>
    <t>Christian__IL</t>
  </si>
  <si>
    <t>Christian</t>
  </si>
  <si>
    <t>Clark__IL</t>
  </si>
  <si>
    <t>Clay__IL</t>
  </si>
  <si>
    <t>Clinton__IL</t>
  </si>
  <si>
    <t>Coles__IL</t>
  </si>
  <si>
    <t>Coles</t>
  </si>
  <si>
    <t>Cook__IL</t>
  </si>
  <si>
    <t>Crawford__IL</t>
  </si>
  <si>
    <t>Cumberland__IL</t>
  </si>
  <si>
    <t>Cumberland</t>
  </si>
  <si>
    <t>De_Witt__IL</t>
  </si>
  <si>
    <t>De Witt</t>
  </si>
  <si>
    <t>DeKalb__IL</t>
  </si>
  <si>
    <t>McDonough__IL</t>
  </si>
  <si>
    <t>McDonough</t>
  </si>
  <si>
    <t>Douglas__IL</t>
  </si>
  <si>
    <t>DuPage__IL</t>
  </si>
  <si>
    <t>DuPage</t>
  </si>
  <si>
    <t>Glen Ellyn</t>
  </si>
  <si>
    <t>Edgar__IL</t>
  </si>
  <si>
    <t>Edgar</t>
  </si>
  <si>
    <t>Edwards__IL</t>
  </si>
  <si>
    <t>Edwards</t>
  </si>
  <si>
    <t>Effingham__IL</t>
  </si>
  <si>
    <t>Fayette__IL</t>
  </si>
  <si>
    <t>Ford__IL</t>
  </si>
  <si>
    <t>Ford</t>
  </si>
  <si>
    <t>Franklin__IL</t>
  </si>
  <si>
    <t>Fulton__IL</t>
  </si>
  <si>
    <t>Gallatin__IL</t>
  </si>
  <si>
    <t>Gallatin</t>
  </si>
  <si>
    <t>Greene__IL</t>
  </si>
  <si>
    <t>Grundy__IL</t>
  </si>
  <si>
    <t>Hamilton__IL</t>
  </si>
  <si>
    <t>Hancock__IL</t>
  </si>
  <si>
    <t>Hardin__IL</t>
  </si>
  <si>
    <t>Henderson__IL</t>
  </si>
  <si>
    <t>Henderson</t>
  </si>
  <si>
    <t>Henry__IL</t>
  </si>
  <si>
    <t>Iroquois__IL</t>
  </si>
  <si>
    <t>Iroquois</t>
  </si>
  <si>
    <t>Jackson__IL</t>
  </si>
  <si>
    <t>Jasper__IL</t>
  </si>
  <si>
    <t>Jefferson__IL</t>
  </si>
  <si>
    <t>Jersey__IL</t>
  </si>
  <si>
    <t>Jersey</t>
  </si>
  <si>
    <t>Jo_Daviess__IL</t>
  </si>
  <si>
    <t>Jo Daviess</t>
  </si>
  <si>
    <t>Johnson__IL</t>
  </si>
  <si>
    <t>Kane__IL</t>
  </si>
  <si>
    <t>Kane</t>
  </si>
  <si>
    <t>Kankakee__IL</t>
  </si>
  <si>
    <t>Kankakee</t>
  </si>
  <si>
    <t>Kendall__IL</t>
  </si>
  <si>
    <t>Kendall</t>
  </si>
  <si>
    <t>Knox__IL</t>
  </si>
  <si>
    <t>Knox</t>
  </si>
  <si>
    <t>La_Salle__IL</t>
  </si>
  <si>
    <t>La Salle</t>
  </si>
  <si>
    <t>Lake__IL</t>
  </si>
  <si>
    <t>Lawrence__IL</t>
  </si>
  <si>
    <t>Lee__IL</t>
  </si>
  <si>
    <t>Livingston__IL</t>
  </si>
  <si>
    <t>Livingston</t>
  </si>
  <si>
    <t>Logan__IL</t>
  </si>
  <si>
    <t>Macon__IL</t>
  </si>
  <si>
    <t>Macoupin__IL</t>
  </si>
  <si>
    <t>Macoupin</t>
  </si>
  <si>
    <t>Madison__IL</t>
  </si>
  <si>
    <t>Marion__IL</t>
  </si>
  <si>
    <t>Marshall__IL</t>
  </si>
  <si>
    <t>Mason__IL</t>
  </si>
  <si>
    <t>Mason</t>
  </si>
  <si>
    <t>Massac__IL</t>
  </si>
  <si>
    <t>Massac</t>
  </si>
  <si>
    <t>McHenry__IL</t>
  </si>
  <si>
    <t>McHenry</t>
  </si>
  <si>
    <t>McLean__IL</t>
  </si>
  <si>
    <t>McLean</t>
  </si>
  <si>
    <t>Menard__IL</t>
  </si>
  <si>
    <t>Menard</t>
  </si>
  <si>
    <t>Mercer__IL</t>
  </si>
  <si>
    <t>Mercer</t>
  </si>
  <si>
    <t>Monroe__IL</t>
  </si>
  <si>
    <t>Montgomery__IL</t>
  </si>
  <si>
    <t>Morgan__IL</t>
  </si>
  <si>
    <t>Moultrie__IL</t>
  </si>
  <si>
    <t>Moultrie</t>
  </si>
  <si>
    <t>Ogle__IL</t>
  </si>
  <si>
    <t>Ogle</t>
  </si>
  <si>
    <t>Peoria__IL</t>
  </si>
  <si>
    <t>Peoria</t>
  </si>
  <si>
    <t>Perry__IL</t>
  </si>
  <si>
    <t>Piatt__IL</t>
  </si>
  <si>
    <t>Piatt</t>
  </si>
  <si>
    <t>Pike__IL</t>
  </si>
  <si>
    <t>Pope__IL</t>
  </si>
  <si>
    <t>Pulaski__IL</t>
  </si>
  <si>
    <t>Putnam__IL</t>
  </si>
  <si>
    <t>Randolph__IL</t>
  </si>
  <si>
    <t>Richland__IL</t>
  </si>
  <si>
    <t>Richland</t>
  </si>
  <si>
    <t>Rock_Island__IL</t>
  </si>
  <si>
    <t>Rock Island</t>
  </si>
  <si>
    <t>Saline__IL</t>
  </si>
  <si>
    <t>Sangamon__IL</t>
  </si>
  <si>
    <t>Sangamon</t>
  </si>
  <si>
    <t>Schuyler__IL</t>
  </si>
  <si>
    <t>Schuyler</t>
  </si>
  <si>
    <t>Scott__IL</t>
  </si>
  <si>
    <t>Shelby__IL</t>
  </si>
  <si>
    <t>St__Clair__IL</t>
  </si>
  <si>
    <t>Stark__IL</t>
  </si>
  <si>
    <t>Stark</t>
  </si>
  <si>
    <t>Stephenson__IL</t>
  </si>
  <si>
    <t>Stephenson</t>
  </si>
  <si>
    <t>Tazewell__IL</t>
  </si>
  <si>
    <t>Tazewell</t>
  </si>
  <si>
    <t>Union__IL</t>
  </si>
  <si>
    <t>Vermilion__IL</t>
  </si>
  <si>
    <t>Vermilion</t>
  </si>
  <si>
    <t>Wabash__IL</t>
  </si>
  <si>
    <t>Wabash</t>
  </si>
  <si>
    <t>Warren__IL</t>
  </si>
  <si>
    <t>Washington__IL</t>
  </si>
  <si>
    <t>Wayne__IL</t>
  </si>
  <si>
    <t>White__IL</t>
  </si>
  <si>
    <t>Whiteside__IL</t>
  </si>
  <si>
    <t>Whiteside</t>
  </si>
  <si>
    <t>Will__IL</t>
  </si>
  <si>
    <t>Will</t>
  </si>
  <si>
    <t>Williamson__IL</t>
  </si>
  <si>
    <t>Williamson</t>
  </si>
  <si>
    <t>Winnebago__IL</t>
  </si>
  <si>
    <t>Woodford__IL</t>
  </si>
  <si>
    <t>Woodford</t>
  </si>
  <si>
    <t>Adams__IN</t>
  </si>
  <si>
    <t>INDIANA</t>
  </si>
  <si>
    <t>Allen__IN</t>
  </si>
  <si>
    <t>Allen</t>
  </si>
  <si>
    <t>Bartholomew__IN</t>
  </si>
  <si>
    <t>Bartholomew</t>
  </si>
  <si>
    <t>Benton__IN</t>
  </si>
  <si>
    <t>Blackford__IN</t>
  </si>
  <si>
    <t>Blackford</t>
  </si>
  <si>
    <t>Boone__IN</t>
  </si>
  <si>
    <t>Brown__IN</t>
  </si>
  <si>
    <t>Carroll__IN</t>
  </si>
  <si>
    <t>Cass__IN</t>
  </si>
  <si>
    <t>Clark__IN</t>
  </si>
  <si>
    <t>Downtown Jeffersonville (optional North Jeffersonville)</t>
  </si>
  <si>
    <t>Clay__IN</t>
  </si>
  <si>
    <t>Clinton__IN</t>
  </si>
  <si>
    <t>Crawford__IN</t>
  </si>
  <si>
    <t>Daviess__IN</t>
  </si>
  <si>
    <t>Daviess</t>
  </si>
  <si>
    <t>Dearborn__IN</t>
  </si>
  <si>
    <t>Dearborn</t>
  </si>
  <si>
    <t>Decatur__IN</t>
  </si>
  <si>
    <t>DeKalb__IN</t>
  </si>
  <si>
    <t>Delaware__IN</t>
  </si>
  <si>
    <t>Dubois__IN</t>
  </si>
  <si>
    <t>Dubois</t>
  </si>
  <si>
    <t>Elkhart__IN</t>
  </si>
  <si>
    <t>Elkhart</t>
  </si>
  <si>
    <t>Fayette__IN</t>
  </si>
  <si>
    <t>Floyd__IN</t>
  </si>
  <si>
    <t>Fountain__IN</t>
  </si>
  <si>
    <t>Fountain</t>
  </si>
  <si>
    <t>Franklin__IN</t>
  </si>
  <si>
    <t>Fulton__IN</t>
  </si>
  <si>
    <t>Gibson__IN</t>
  </si>
  <si>
    <t>Gibson</t>
  </si>
  <si>
    <t>Grant__IN</t>
  </si>
  <si>
    <t>Greene__IN</t>
  </si>
  <si>
    <t>Hamilton__IN</t>
  </si>
  <si>
    <t>Carmel</t>
  </si>
  <si>
    <t>Hancock__IN</t>
  </si>
  <si>
    <t>Harrison__IN</t>
  </si>
  <si>
    <t>Hendricks__IN</t>
  </si>
  <si>
    <t>Hendricks</t>
  </si>
  <si>
    <t>Henry__IN</t>
  </si>
  <si>
    <t>Howard__IN</t>
  </si>
  <si>
    <t>Huntington__IN</t>
  </si>
  <si>
    <t>Huntington</t>
  </si>
  <si>
    <t>Jackson__IN</t>
  </si>
  <si>
    <t>Jasper__IN</t>
  </si>
  <si>
    <t>Jay__IN</t>
  </si>
  <si>
    <t>Jay</t>
  </si>
  <si>
    <t>Jefferson__IN</t>
  </si>
  <si>
    <t>Jennings__IN</t>
  </si>
  <si>
    <t>Jennings</t>
  </si>
  <si>
    <t>Johnson__IN</t>
  </si>
  <si>
    <t>Knox__IN</t>
  </si>
  <si>
    <t>Kosciusko__IN</t>
  </si>
  <si>
    <t>Kosciusko</t>
  </si>
  <si>
    <t>LaGrange__IN</t>
  </si>
  <si>
    <t>LaGrange</t>
  </si>
  <si>
    <t>Lake__IN</t>
  </si>
  <si>
    <t>LaPorte__IN</t>
  </si>
  <si>
    <t>LaPorte</t>
  </si>
  <si>
    <t>Lawrence__IN</t>
  </si>
  <si>
    <t>Madison__IN</t>
  </si>
  <si>
    <t>Marion__IN</t>
  </si>
  <si>
    <t>Marshall__IN</t>
  </si>
  <si>
    <t>Martin__IN</t>
  </si>
  <si>
    <t>Miami__IN</t>
  </si>
  <si>
    <t>Miami</t>
  </si>
  <si>
    <t>Monroe__IN</t>
  </si>
  <si>
    <t>Bloomington</t>
  </si>
  <si>
    <t>Montgomery__IN</t>
  </si>
  <si>
    <t>Morgan__IN</t>
  </si>
  <si>
    <t>Newton__IN</t>
  </si>
  <si>
    <t>Noble__IN</t>
  </si>
  <si>
    <t>Noble</t>
  </si>
  <si>
    <t>Ohio__IN</t>
  </si>
  <si>
    <t>Ohio</t>
  </si>
  <si>
    <t>Orange__IN</t>
  </si>
  <si>
    <t>Owen__IN</t>
  </si>
  <si>
    <t>Owen</t>
  </si>
  <si>
    <t>Parke__IN</t>
  </si>
  <si>
    <t>Parke</t>
  </si>
  <si>
    <t>Perry__IN</t>
  </si>
  <si>
    <t>Pike__IN</t>
  </si>
  <si>
    <t>Porter__IN</t>
  </si>
  <si>
    <t>Porter</t>
  </si>
  <si>
    <t>Posey__IN</t>
  </si>
  <si>
    <t>Posey</t>
  </si>
  <si>
    <t>Pulaski__IN</t>
  </si>
  <si>
    <t>Putnam__IN</t>
  </si>
  <si>
    <t>Randolph__IN</t>
  </si>
  <si>
    <t>Ripley__IN</t>
  </si>
  <si>
    <t>Ripley</t>
  </si>
  <si>
    <t>Rush__IN</t>
  </si>
  <si>
    <t>Rush</t>
  </si>
  <si>
    <t>Scott__IN</t>
  </si>
  <si>
    <t>Shelby__IN</t>
  </si>
  <si>
    <t>Spencer__IN</t>
  </si>
  <si>
    <t>Spencer</t>
  </si>
  <si>
    <t>St__Joseph__IN</t>
  </si>
  <si>
    <t>St  Joseph</t>
  </si>
  <si>
    <t>South Bend</t>
  </si>
  <si>
    <t>Starke__IN</t>
  </si>
  <si>
    <t>Starke</t>
  </si>
  <si>
    <t>Steuben__IN</t>
  </si>
  <si>
    <t>Steuben</t>
  </si>
  <si>
    <t>Sullivan__IN</t>
  </si>
  <si>
    <t>Sullivan</t>
  </si>
  <si>
    <t>Switzerland__IN</t>
  </si>
  <si>
    <t>Switzerland</t>
  </si>
  <si>
    <t>Tippecanoe__IN</t>
  </si>
  <si>
    <t>Tippecanoe</t>
  </si>
  <si>
    <t>Tipton__IN</t>
  </si>
  <si>
    <t>Tipton</t>
  </si>
  <si>
    <t>Union__IN</t>
  </si>
  <si>
    <t>Vanderburgh__IN</t>
  </si>
  <si>
    <t>Vanderburgh</t>
  </si>
  <si>
    <t>Vermillion__IN</t>
  </si>
  <si>
    <t>Vermillion</t>
  </si>
  <si>
    <t>Vigo__IN</t>
  </si>
  <si>
    <t>Vigo</t>
  </si>
  <si>
    <t>Wabash__IN</t>
  </si>
  <si>
    <t>Warren__IN</t>
  </si>
  <si>
    <t>Warrick__IN</t>
  </si>
  <si>
    <t>Warrick</t>
  </si>
  <si>
    <t>Washington__IN</t>
  </si>
  <si>
    <t>Wayne__IN</t>
  </si>
  <si>
    <t>Wells__IN</t>
  </si>
  <si>
    <t>Wells</t>
  </si>
  <si>
    <t>White__IN</t>
  </si>
  <si>
    <t>Whitley__IN</t>
  </si>
  <si>
    <t>Whitley</t>
  </si>
  <si>
    <t>Allen__KS</t>
  </si>
  <si>
    <t>KANSAS</t>
  </si>
  <si>
    <t>Anderson__KS</t>
  </si>
  <si>
    <t>Anderson</t>
  </si>
  <si>
    <t>Atchison__KS</t>
  </si>
  <si>
    <t>Atchison</t>
  </si>
  <si>
    <t>Barber__KS</t>
  </si>
  <si>
    <t>Barber</t>
  </si>
  <si>
    <t>Barton__KS</t>
  </si>
  <si>
    <t>Barton</t>
  </si>
  <si>
    <t>Bourbon__KS</t>
  </si>
  <si>
    <t>Bourbon</t>
  </si>
  <si>
    <t>Brown__KS</t>
  </si>
  <si>
    <t>Butler__KS</t>
  </si>
  <si>
    <t>Chase__KS</t>
  </si>
  <si>
    <t>Chase</t>
  </si>
  <si>
    <t>Chautauqua__KS</t>
  </si>
  <si>
    <t>Chautauqua</t>
  </si>
  <si>
    <t>Cherokee__KS</t>
  </si>
  <si>
    <t>Cheyenne__KS</t>
  </si>
  <si>
    <t>Clark__KS</t>
  </si>
  <si>
    <t>Clay__KS</t>
  </si>
  <si>
    <t>Cloud__KS</t>
  </si>
  <si>
    <t>Cloud</t>
  </si>
  <si>
    <t>Coffey__KS</t>
  </si>
  <si>
    <t>Coffey</t>
  </si>
  <si>
    <t>Comanche__KS</t>
  </si>
  <si>
    <t>Comanche</t>
  </si>
  <si>
    <t>Cowley__KS</t>
  </si>
  <si>
    <t>Cowley</t>
  </si>
  <si>
    <t>Crawford__KS</t>
  </si>
  <si>
    <t>Decatur__KS</t>
  </si>
  <si>
    <t>Dickinson__KS</t>
  </si>
  <si>
    <t>Doniphan__KS</t>
  </si>
  <si>
    <t>Doniphan</t>
  </si>
  <si>
    <t>Douglas__KS</t>
  </si>
  <si>
    <t>Edwards__KS</t>
  </si>
  <si>
    <t>Elk__KS</t>
  </si>
  <si>
    <t>Elk</t>
  </si>
  <si>
    <t>Ellis__KS</t>
  </si>
  <si>
    <t>Ellis</t>
  </si>
  <si>
    <t>Ellsworth__KS</t>
  </si>
  <si>
    <t>Ellsworth</t>
  </si>
  <si>
    <t>Finney__KS</t>
  </si>
  <si>
    <t>Finney</t>
  </si>
  <si>
    <t>Ford__KS</t>
  </si>
  <si>
    <t>Franklin__KS</t>
  </si>
  <si>
    <t>Geary__KS</t>
  </si>
  <si>
    <t>Geary</t>
  </si>
  <si>
    <t>Gove__KS</t>
  </si>
  <si>
    <t>Gove</t>
  </si>
  <si>
    <t>Graham__KS</t>
  </si>
  <si>
    <t>Grant__KS</t>
  </si>
  <si>
    <t>Gray__KS</t>
  </si>
  <si>
    <t>Gray</t>
  </si>
  <si>
    <t>Greeley__KS</t>
  </si>
  <si>
    <t>Greeley</t>
  </si>
  <si>
    <t>Greenwood__KS</t>
  </si>
  <si>
    <t>Greenwood</t>
  </si>
  <si>
    <t>Hamilton__KS</t>
  </si>
  <si>
    <t>Harper__KS</t>
  </si>
  <si>
    <t>Harper</t>
  </si>
  <si>
    <t>Harvey__KS</t>
  </si>
  <si>
    <t>Harvey</t>
  </si>
  <si>
    <t>Haskell__KS</t>
  </si>
  <si>
    <t>Haskell</t>
  </si>
  <si>
    <t>Hodgeman__KS</t>
  </si>
  <si>
    <t>Hodgeman</t>
  </si>
  <si>
    <t>Jackson__KS</t>
  </si>
  <si>
    <t>Jefferson__KS</t>
  </si>
  <si>
    <t>Jewell__KS</t>
  </si>
  <si>
    <t>Jewell</t>
  </si>
  <si>
    <t>Johnson__KS</t>
  </si>
  <si>
    <t>Kearny__KS</t>
  </si>
  <si>
    <t>Kearny</t>
  </si>
  <si>
    <t>Kingman__KS</t>
  </si>
  <si>
    <t>Kingman</t>
  </si>
  <si>
    <t>Kiowa__KS</t>
  </si>
  <si>
    <t>Labette__KS</t>
  </si>
  <si>
    <t>Labette</t>
  </si>
  <si>
    <t>Lane__KS</t>
  </si>
  <si>
    <t>Lane</t>
  </si>
  <si>
    <t>Leavenworth__KS</t>
  </si>
  <si>
    <t>Leavenworth</t>
  </si>
  <si>
    <t>Lincoln__KS</t>
  </si>
  <si>
    <t>Linn__KS</t>
  </si>
  <si>
    <t>Logan__KS</t>
  </si>
  <si>
    <t>Lyon__KS</t>
  </si>
  <si>
    <t>Marion__KS</t>
  </si>
  <si>
    <t>Marshall__KS</t>
  </si>
  <si>
    <t>McPherson__KS</t>
  </si>
  <si>
    <t>McPherson</t>
  </si>
  <si>
    <t>Meade__KS</t>
  </si>
  <si>
    <t>Meade</t>
  </si>
  <si>
    <t>Miami__KS</t>
  </si>
  <si>
    <t>Mitchell__KS</t>
  </si>
  <si>
    <t>Montgomery__KS</t>
  </si>
  <si>
    <t>Morris__KS</t>
  </si>
  <si>
    <t>Morris</t>
  </si>
  <si>
    <t>Morton__KS</t>
  </si>
  <si>
    <t>Morton</t>
  </si>
  <si>
    <t>Nemaha__KS</t>
  </si>
  <si>
    <t>Nemaha</t>
  </si>
  <si>
    <t>Neosho__KS</t>
  </si>
  <si>
    <t>Neosho</t>
  </si>
  <si>
    <t>Ness__KS</t>
  </si>
  <si>
    <t>Ness</t>
  </si>
  <si>
    <t>Norton__KS</t>
  </si>
  <si>
    <t>Norton</t>
  </si>
  <si>
    <t>Osage__KS</t>
  </si>
  <si>
    <t>Osage</t>
  </si>
  <si>
    <t>Osborne__KS</t>
  </si>
  <si>
    <t>Osborne</t>
  </si>
  <si>
    <t>Ottawa__KS</t>
  </si>
  <si>
    <t>Ottawa</t>
  </si>
  <si>
    <t>Pawnee__KS</t>
  </si>
  <si>
    <t>Pawnee</t>
  </si>
  <si>
    <t>Phillips__KS</t>
  </si>
  <si>
    <t>Pottawatomie__KS</t>
  </si>
  <si>
    <t>Pottawatomie</t>
  </si>
  <si>
    <t>Pratt__KS</t>
  </si>
  <si>
    <t>Pratt</t>
  </si>
  <si>
    <t>Rawlins__KS</t>
  </si>
  <si>
    <t>Rawlins</t>
  </si>
  <si>
    <t>Reno__KS</t>
  </si>
  <si>
    <t>Reno</t>
  </si>
  <si>
    <t>Republic__KS</t>
  </si>
  <si>
    <t>Republic</t>
  </si>
  <si>
    <t>Rice__KS</t>
  </si>
  <si>
    <t>Rice</t>
  </si>
  <si>
    <t>Riley__KS</t>
  </si>
  <si>
    <t>Riley</t>
  </si>
  <si>
    <t>Rooks__KS</t>
  </si>
  <si>
    <t>Rooks</t>
  </si>
  <si>
    <t>Rush__KS</t>
  </si>
  <si>
    <t>Russell__KS</t>
  </si>
  <si>
    <t>Saline__KS</t>
  </si>
  <si>
    <t>Salina</t>
  </si>
  <si>
    <t>Scott__KS</t>
  </si>
  <si>
    <t>Sedgwick__KS</t>
  </si>
  <si>
    <t>Seward__KS</t>
  </si>
  <si>
    <t>Seward</t>
  </si>
  <si>
    <t>Shawnee__KS</t>
  </si>
  <si>
    <t>Shawnee</t>
  </si>
  <si>
    <t>Sheridan__KS</t>
  </si>
  <si>
    <t>Sheridan</t>
  </si>
  <si>
    <t>Sherman__KS</t>
  </si>
  <si>
    <t>Sherman</t>
  </si>
  <si>
    <t>Smith__KS</t>
  </si>
  <si>
    <t>Smith</t>
  </si>
  <si>
    <t>Stafford__KS</t>
  </si>
  <si>
    <t>Stafford</t>
  </si>
  <si>
    <t>Stanton__KS</t>
  </si>
  <si>
    <t>Stanton</t>
  </si>
  <si>
    <t>Stevens__KS</t>
  </si>
  <si>
    <t>Stevens</t>
  </si>
  <si>
    <t>Sumner__KS</t>
  </si>
  <si>
    <t>Sumner</t>
  </si>
  <si>
    <t>Thomas__KS</t>
  </si>
  <si>
    <t>Trego__KS</t>
  </si>
  <si>
    <t>Trego</t>
  </si>
  <si>
    <t>Wabaunsee__KS</t>
  </si>
  <si>
    <t>Wabaunsee</t>
  </si>
  <si>
    <t>Wallace__KS</t>
  </si>
  <si>
    <t>Wallace</t>
  </si>
  <si>
    <t>Washington__KS</t>
  </si>
  <si>
    <t>Wichita__KS</t>
  </si>
  <si>
    <t>Wichita</t>
  </si>
  <si>
    <t>Wilson__KS</t>
  </si>
  <si>
    <t>Wilson</t>
  </si>
  <si>
    <t>Woodson__KS</t>
  </si>
  <si>
    <t>Woodson</t>
  </si>
  <si>
    <t>Wyandotte__KS</t>
  </si>
  <si>
    <t>Wyandotte</t>
  </si>
  <si>
    <t>Wolcott (optional: Kaw Point/Kansas City)</t>
  </si>
  <si>
    <t>Adair__KY</t>
  </si>
  <si>
    <t>KENTUCKY</t>
  </si>
  <si>
    <t>Allen__KY</t>
  </si>
  <si>
    <t>Anderson__KY</t>
  </si>
  <si>
    <t>Ballard__KY</t>
  </si>
  <si>
    <t>Ballard</t>
  </si>
  <si>
    <t>Barren__KY</t>
  </si>
  <si>
    <t>Barren</t>
  </si>
  <si>
    <t>Bath__KY</t>
  </si>
  <si>
    <t>Bath</t>
  </si>
  <si>
    <t>Bell__KY</t>
  </si>
  <si>
    <t>Bell</t>
  </si>
  <si>
    <t>Boone__KY</t>
  </si>
  <si>
    <t>Bourbon__KY</t>
  </si>
  <si>
    <t>Boyd__KY</t>
  </si>
  <si>
    <t>Boyd</t>
  </si>
  <si>
    <t>Boyle__KY</t>
  </si>
  <si>
    <t>Boyle</t>
  </si>
  <si>
    <t>Bracken__KY</t>
  </si>
  <si>
    <t>Bracken</t>
  </si>
  <si>
    <t>Breathitt__KY</t>
  </si>
  <si>
    <t>Breathitt</t>
  </si>
  <si>
    <t>Breckinridge__KY</t>
  </si>
  <si>
    <t>Breckinridge</t>
  </si>
  <si>
    <t>Bullitt__KY</t>
  </si>
  <si>
    <t>Bullitt</t>
  </si>
  <si>
    <t>Butler__KY</t>
  </si>
  <si>
    <t>Caldwell__KY</t>
  </si>
  <si>
    <t>Caldwell</t>
  </si>
  <si>
    <t>Calloway__KY</t>
  </si>
  <si>
    <t>Calloway</t>
  </si>
  <si>
    <t>Campbell__KY</t>
  </si>
  <si>
    <t>Campbell</t>
  </si>
  <si>
    <t>Carlisle__KY</t>
  </si>
  <si>
    <t>Carlisle</t>
  </si>
  <si>
    <t>Carroll__KY</t>
  </si>
  <si>
    <t>Carter__KY</t>
  </si>
  <si>
    <t>Carter</t>
  </si>
  <si>
    <t>Casey__KY</t>
  </si>
  <si>
    <t>Casey</t>
  </si>
  <si>
    <t>Christian__KY</t>
  </si>
  <si>
    <t>Clark__KY</t>
  </si>
  <si>
    <t>Clay__KY</t>
  </si>
  <si>
    <t>Clinton__KY</t>
  </si>
  <si>
    <t>Crittenden__KY</t>
  </si>
  <si>
    <t>Cumberland__KY</t>
  </si>
  <si>
    <t>Daviess__KY</t>
  </si>
  <si>
    <t>Edmonson__KY</t>
  </si>
  <si>
    <t>Edmonson</t>
  </si>
  <si>
    <t>Elliott__KY</t>
  </si>
  <si>
    <t>Elliott</t>
  </si>
  <si>
    <t>Estill__KY</t>
  </si>
  <si>
    <t>Estill</t>
  </si>
  <si>
    <t>Fayette__KY</t>
  </si>
  <si>
    <t>Fleming__KY</t>
  </si>
  <si>
    <t>Fleming</t>
  </si>
  <si>
    <t>Floyd__KY</t>
  </si>
  <si>
    <t>Franklin__KY</t>
  </si>
  <si>
    <t>Fulton__KY</t>
  </si>
  <si>
    <t>Gallatin__KY</t>
  </si>
  <si>
    <t>Garrard__KY</t>
  </si>
  <si>
    <t>Garrard</t>
  </si>
  <si>
    <t>Grant__KY</t>
  </si>
  <si>
    <t>Graves__KY</t>
  </si>
  <si>
    <t>Graves</t>
  </si>
  <si>
    <t>Grayson__KY</t>
  </si>
  <si>
    <t>Grayson</t>
  </si>
  <si>
    <t>Green__KY</t>
  </si>
  <si>
    <t>Green</t>
  </si>
  <si>
    <t>Greenup__KY</t>
  </si>
  <si>
    <t>Greenup</t>
  </si>
  <si>
    <t>Hancock__KY</t>
  </si>
  <si>
    <t>Hardin__KY</t>
  </si>
  <si>
    <t>Harlan__KY</t>
  </si>
  <si>
    <t>Harlan</t>
  </si>
  <si>
    <t>Harrison__KY</t>
  </si>
  <si>
    <t>Hart__KY</t>
  </si>
  <si>
    <t>Henderson__KY</t>
  </si>
  <si>
    <t>Henry__KY</t>
  </si>
  <si>
    <t>Hickman__KY</t>
  </si>
  <si>
    <t>Hickman</t>
  </si>
  <si>
    <t>Hopkins__KY</t>
  </si>
  <si>
    <t>Hopkins</t>
  </si>
  <si>
    <t>Jackson__KY</t>
  </si>
  <si>
    <t>Jefferson__KY</t>
  </si>
  <si>
    <t>Louisville</t>
  </si>
  <si>
    <t>Jessamine__KY</t>
  </si>
  <si>
    <t>Jessamine</t>
  </si>
  <si>
    <t>Johnson__KY</t>
  </si>
  <si>
    <t>Kenton__KY</t>
  </si>
  <si>
    <t>Kenton</t>
  </si>
  <si>
    <t>Knott__KY</t>
  </si>
  <si>
    <t>Knott</t>
  </si>
  <si>
    <t>Knox__KY</t>
  </si>
  <si>
    <t>Larue__KY</t>
  </si>
  <si>
    <t>Larue</t>
  </si>
  <si>
    <t>Laurel__KY</t>
  </si>
  <si>
    <t>Laurel</t>
  </si>
  <si>
    <t>Lawrence__KY</t>
  </si>
  <si>
    <t>Lee__KY</t>
  </si>
  <si>
    <t>Leslie__KY</t>
  </si>
  <si>
    <t>Leslie</t>
  </si>
  <si>
    <t>Letcher__KY</t>
  </si>
  <si>
    <t>Letcher</t>
  </si>
  <si>
    <t>Lewis__KY</t>
  </si>
  <si>
    <t>Lincoln__KY</t>
  </si>
  <si>
    <t>Livingston__KY</t>
  </si>
  <si>
    <t>Logan__KY</t>
  </si>
  <si>
    <t>Lyon__KY</t>
  </si>
  <si>
    <t>Madison__KY</t>
  </si>
  <si>
    <t>Magoffin__KY</t>
  </si>
  <si>
    <t>Magoffin</t>
  </si>
  <si>
    <t>Marion__KY</t>
  </si>
  <si>
    <t>Marshall__KY</t>
  </si>
  <si>
    <t>Martin__KY</t>
  </si>
  <si>
    <t>Mason__KY</t>
  </si>
  <si>
    <t>McCracken__KY</t>
  </si>
  <si>
    <t>McCracken</t>
  </si>
  <si>
    <t>McCreary__KY</t>
  </si>
  <si>
    <t>McCreary</t>
  </si>
  <si>
    <t>McLean__KY</t>
  </si>
  <si>
    <t>Meade__KY</t>
  </si>
  <si>
    <t>Menifee__KY</t>
  </si>
  <si>
    <t>Menifee</t>
  </si>
  <si>
    <t>Mercer__KY</t>
  </si>
  <si>
    <t>Metcalfe__KY</t>
  </si>
  <si>
    <t>Metcalfe</t>
  </si>
  <si>
    <t>Monroe__KY</t>
  </si>
  <si>
    <t>Montgomery__KY</t>
  </si>
  <si>
    <t>Morgan__KY</t>
  </si>
  <si>
    <t>Muhlenberg__KY</t>
  </si>
  <si>
    <t>Muhlenberg</t>
  </si>
  <si>
    <t>Nelson__KY</t>
  </si>
  <si>
    <t>Nelson</t>
  </si>
  <si>
    <t>Nicholas__KY</t>
  </si>
  <si>
    <t>Nicholas</t>
  </si>
  <si>
    <t>Ohio__KY</t>
  </si>
  <si>
    <t>Oldham__KY</t>
  </si>
  <si>
    <t>Oldham</t>
  </si>
  <si>
    <t>Owen__KY</t>
  </si>
  <si>
    <t>Owsley__KY</t>
  </si>
  <si>
    <t>Owsley</t>
  </si>
  <si>
    <t>Pendleton__KY</t>
  </si>
  <si>
    <t>Pendleton</t>
  </si>
  <si>
    <t>Perry__KY</t>
  </si>
  <si>
    <t>Pike__KY</t>
  </si>
  <si>
    <t>Powell__KY</t>
  </si>
  <si>
    <t>Powell</t>
  </si>
  <si>
    <t>Pulaski__KY</t>
  </si>
  <si>
    <t>Robertson__KY</t>
  </si>
  <si>
    <t>Robertson</t>
  </si>
  <si>
    <t>Rockcastle__KY</t>
  </si>
  <si>
    <t>Rockcastle</t>
  </si>
  <si>
    <t>Rowan__KY</t>
  </si>
  <si>
    <t>Rowan</t>
  </si>
  <si>
    <t>Russell__KY</t>
  </si>
  <si>
    <t>Scott__KY</t>
  </si>
  <si>
    <t>Shelby__KY</t>
  </si>
  <si>
    <t>Simpson__KY</t>
  </si>
  <si>
    <t>Simpson</t>
  </si>
  <si>
    <t>Spencer__KY</t>
  </si>
  <si>
    <t>Taylor__KY</t>
  </si>
  <si>
    <t>Todd__KY</t>
  </si>
  <si>
    <t>Todd</t>
  </si>
  <si>
    <t>Trigg__KY</t>
  </si>
  <si>
    <t>Trigg</t>
  </si>
  <si>
    <t>Trimble__KY</t>
  </si>
  <si>
    <t>Trimble</t>
  </si>
  <si>
    <t>Union__KY</t>
  </si>
  <si>
    <t>Warren__KY</t>
  </si>
  <si>
    <t>Washington__KY</t>
  </si>
  <si>
    <t>Wayne__KY</t>
  </si>
  <si>
    <t>Webster__KY</t>
  </si>
  <si>
    <t>Whitley__KY</t>
  </si>
  <si>
    <t>Wolfe__KY</t>
  </si>
  <si>
    <t>Wolfe</t>
  </si>
  <si>
    <t>Woodford__KY</t>
  </si>
  <si>
    <t>Acadia__LA</t>
  </si>
  <si>
    <t>LΟUISIANA</t>
  </si>
  <si>
    <t>Acadia</t>
  </si>
  <si>
    <t>Allen__LA</t>
  </si>
  <si>
    <t>Ascension__LA</t>
  </si>
  <si>
    <t>Ascension</t>
  </si>
  <si>
    <t>Assumption__LA</t>
  </si>
  <si>
    <t>Assumption</t>
  </si>
  <si>
    <t>Avoyelles__LA</t>
  </si>
  <si>
    <t>Avoyelles</t>
  </si>
  <si>
    <t>Beauregard__LA</t>
  </si>
  <si>
    <t>Beauregard</t>
  </si>
  <si>
    <t>Bienville__LA</t>
  </si>
  <si>
    <t>Bienville</t>
  </si>
  <si>
    <t>Bossier__LA</t>
  </si>
  <si>
    <t>Bossier</t>
  </si>
  <si>
    <t>Caddo__LA</t>
  </si>
  <si>
    <t>Caddo</t>
  </si>
  <si>
    <t>Calcasieu__LA</t>
  </si>
  <si>
    <t>Calcasieu</t>
  </si>
  <si>
    <t>Caldwell__LA</t>
  </si>
  <si>
    <t>Cameron__LA</t>
  </si>
  <si>
    <t>Cameron</t>
  </si>
  <si>
    <t>Catahoula__LA</t>
  </si>
  <si>
    <t>Catahoula</t>
  </si>
  <si>
    <t>Claiborne__LA</t>
  </si>
  <si>
    <t>Claiborne</t>
  </si>
  <si>
    <t>Concordia__LA</t>
  </si>
  <si>
    <t>Concordia</t>
  </si>
  <si>
    <t>De_Soto__LA</t>
  </si>
  <si>
    <t>De Soto</t>
  </si>
  <si>
    <t>East_Baton_Rouge__LA</t>
  </si>
  <si>
    <t>East Baton Rouge</t>
  </si>
  <si>
    <t>East_Carroll__LA</t>
  </si>
  <si>
    <t>East Carroll</t>
  </si>
  <si>
    <t>East_Feliciana__LA</t>
  </si>
  <si>
    <t>East Feliciana</t>
  </si>
  <si>
    <t>Evangeline__LA</t>
  </si>
  <si>
    <t>Evangeline</t>
  </si>
  <si>
    <t>Franklin__LA</t>
  </si>
  <si>
    <t>Grant__LA</t>
  </si>
  <si>
    <t>Iberia__LA</t>
  </si>
  <si>
    <t>Iberia</t>
  </si>
  <si>
    <t>Iberville__LA</t>
  </si>
  <si>
    <t>Iberville</t>
  </si>
  <si>
    <t>Jackson__LA</t>
  </si>
  <si>
    <t>Jefferson__LA</t>
  </si>
  <si>
    <t>Jefferson_Davis__LA</t>
  </si>
  <si>
    <t>Jefferson Davis</t>
  </si>
  <si>
    <t>LaSalle__LA</t>
  </si>
  <si>
    <t>LaSalle</t>
  </si>
  <si>
    <t>Lafayette__LA</t>
  </si>
  <si>
    <t>Lafourche__LA</t>
  </si>
  <si>
    <t>Lafourche</t>
  </si>
  <si>
    <t>Lincoln__LA</t>
  </si>
  <si>
    <t>Livingston__LA</t>
  </si>
  <si>
    <t>Madison__LA</t>
  </si>
  <si>
    <t>Morehouse__LA</t>
  </si>
  <si>
    <t>Morehouse</t>
  </si>
  <si>
    <t>Natchitoches__LA</t>
  </si>
  <si>
    <t>Natchitoches</t>
  </si>
  <si>
    <t>Orleans__LA</t>
  </si>
  <si>
    <t>Orleans</t>
  </si>
  <si>
    <t>West Bank New Orleans (optional: East Bank)</t>
  </si>
  <si>
    <t>Ouachita__LA</t>
  </si>
  <si>
    <t>Plaquemines__LA</t>
  </si>
  <si>
    <t>Plaquemines</t>
  </si>
  <si>
    <t>Pointe_Coupee__LA</t>
  </si>
  <si>
    <t>Pointe Coupee</t>
  </si>
  <si>
    <t>Rapides__LA</t>
  </si>
  <si>
    <t>Rapides</t>
  </si>
  <si>
    <t>Red_River__LA</t>
  </si>
  <si>
    <t>Red River</t>
  </si>
  <si>
    <t>Richland__LA</t>
  </si>
  <si>
    <t>Sabine__LA</t>
  </si>
  <si>
    <t>Sabine</t>
  </si>
  <si>
    <t>St__Bernard__LA</t>
  </si>
  <si>
    <t>St  Bernard</t>
  </si>
  <si>
    <t>St__Charles__LA</t>
  </si>
  <si>
    <t>St  Charles</t>
  </si>
  <si>
    <t>St__Helena__LA</t>
  </si>
  <si>
    <t>St  Helena</t>
  </si>
  <si>
    <t>St__James__LA</t>
  </si>
  <si>
    <t>St  James</t>
  </si>
  <si>
    <t>St__John_the_Baptist__LA</t>
  </si>
  <si>
    <t>St  John the Baptist</t>
  </si>
  <si>
    <t>St__Landry__LA</t>
  </si>
  <si>
    <t>St  Landry</t>
  </si>
  <si>
    <t>St__Martin__LA</t>
  </si>
  <si>
    <t>St  Martin</t>
  </si>
  <si>
    <t>St__Mary__LA</t>
  </si>
  <si>
    <t>St  Mary</t>
  </si>
  <si>
    <t>St__Tammany__LA</t>
  </si>
  <si>
    <t>St  Tammany</t>
  </si>
  <si>
    <t>Tangipahoa__LA</t>
  </si>
  <si>
    <t>Tangipahoa</t>
  </si>
  <si>
    <t>Tensas__LA</t>
  </si>
  <si>
    <t>Tensas</t>
  </si>
  <si>
    <t>Terrebonne__LA</t>
  </si>
  <si>
    <t>Terrebonne</t>
  </si>
  <si>
    <t>Union__LA</t>
  </si>
  <si>
    <t>Vermilion__LA</t>
  </si>
  <si>
    <t>Vernon__LA</t>
  </si>
  <si>
    <t>Vernon</t>
  </si>
  <si>
    <t>Washington__LA</t>
  </si>
  <si>
    <t>Webster__LA</t>
  </si>
  <si>
    <t>West_Baton_Rouge__LA</t>
  </si>
  <si>
    <t>West Baton Rouge</t>
  </si>
  <si>
    <t>West_Carroll__LA</t>
  </si>
  <si>
    <t>West Carroll</t>
  </si>
  <si>
    <t>West_Feliciana__LA</t>
  </si>
  <si>
    <t>West Feliciana</t>
  </si>
  <si>
    <t>Winn__LA</t>
  </si>
  <si>
    <t>Winn</t>
  </si>
  <si>
    <t>Barnstable__MA</t>
  </si>
  <si>
    <t>MASSACHUSETTS</t>
  </si>
  <si>
    <t>Barnstable</t>
  </si>
  <si>
    <t>Berkshire__MA</t>
  </si>
  <si>
    <t>Berkshire</t>
  </si>
  <si>
    <t>Bristol__MA</t>
  </si>
  <si>
    <t>Bristol</t>
  </si>
  <si>
    <t>Dukes__MA</t>
  </si>
  <si>
    <t>Dukes</t>
  </si>
  <si>
    <t>Essex__MA</t>
  </si>
  <si>
    <t>Essex</t>
  </si>
  <si>
    <t>Franklin__MA</t>
  </si>
  <si>
    <t>Hampden__MA</t>
  </si>
  <si>
    <t>Hampden</t>
  </si>
  <si>
    <t>Hampshire__MA</t>
  </si>
  <si>
    <t>Hampshire</t>
  </si>
  <si>
    <t>Middlesex__MA</t>
  </si>
  <si>
    <t>Middlesex</t>
  </si>
  <si>
    <t>Boston</t>
  </si>
  <si>
    <t>Nantucket__MA</t>
  </si>
  <si>
    <t>Nantucket</t>
  </si>
  <si>
    <t>Norfolk__MA</t>
  </si>
  <si>
    <t>Norfolk</t>
  </si>
  <si>
    <t>Plymouth__MA</t>
  </si>
  <si>
    <t>Suffolk__MA</t>
  </si>
  <si>
    <t>Suffolk</t>
  </si>
  <si>
    <t>Worcester__MA</t>
  </si>
  <si>
    <t>Worcester</t>
  </si>
  <si>
    <t>Millbury</t>
  </si>
  <si>
    <t>Allegany__MD</t>
  </si>
  <si>
    <t>MARYLAND</t>
  </si>
  <si>
    <t>Allegany</t>
  </si>
  <si>
    <t>Anne_Arundel__MD</t>
  </si>
  <si>
    <t>Anne Arundel</t>
  </si>
  <si>
    <t>Baltimore_City__MD</t>
  </si>
  <si>
    <t>Baltimore City</t>
  </si>
  <si>
    <t>Baltimore_County__MD</t>
  </si>
  <si>
    <t>Baltimore County</t>
  </si>
  <si>
    <t>Calvert__MD</t>
  </si>
  <si>
    <t>Calvert</t>
  </si>
  <si>
    <t>Caroline__MD</t>
  </si>
  <si>
    <t>Caroline</t>
  </si>
  <si>
    <t>Carroll__MD</t>
  </si>
  <si>
    <t>Cecil__MD</t>
  </si>
  <si>
    <t>Cecil</t>
  </si>
  <si>
    <t>Charles__MD</t>
  </si>
  <si>
    <t>Charles</t>
  </si>
  <si>
    <t>Dorchester__MD</t>
  </si>
  <si>
    <t>Dorchester</t>
  </si>
  <si>
    <t>Frederick__MD</t>
  </si>
  <si>
    <t>Frederick</t>
  </si>
  <si>
    <t>Garrett__MD</t>
  </si>
  <si>
    <t>Garrett</t>
  </si>
  <si>
    <t>Harford__MD</t>
  </si>
  <si>
    <t>Harford</t>
  </si>
  <si>
    <t>Howard__MD</t>
  </si>
  <si>
    <t>Kent__MD</t>
  </si>
  <si>
    <t>Montgomery__MD</t>
  </si>
  <si>
    <t>Prince_George_s__MD</t>
  </si>
  <si>
    <t>Prince George s</t>
  </si>
  <si>
    <t>Queen_Anne_s__MD</t>
  </si>
  <si>
    <t>Queen Anne s</t>
  </si>
  <si>
    <t>Somerset__MD</t>
  </si>
  <si>
    <t>Somerset</t>
  </si>
  <si>
    <t>St_Mary_s__MD</t>
  </si>
  <si>
    <t>St Mary s</t>
  </si>
  <si>
    <t>Hollywood</t>
  </si>
  <si>
    <t>Talbot__MD</t>
  </si>
  <si>
    <t>Washington__MD</t>
  </si>
  <si>
    <t>Hagerstown</t>
  </si>
  <si>
    <t>Wicomico__MD</t>
  </si>
  <si>
    <t>Wicomico</t>
  </si>
  <si>
    <t>Worcester__MD</t>
  </si>
  <si>
    <t>Androscoggin__ME</t>
  </si>
  <si>
    <t>MAINE</t>
  </si>
  <si>
    <t>Androscoggin</t>
  </si>
  <si>
    <t>Lewiston</t>
  </si>
  <si>
    <t>Aroostook__ME</t>
  </si>
  <si>
    <t>Aroostook</t>
  </si>
  <si>
    <t>Cumberland__ME</t>
  </si>
  <si>
    <t>Portland</t>
  </si>
  <si>
    <t>Franklin__ME</t>
  </si>
  <si>
    <t>Hancock__ME</t>
  </si>
  <si>
    <t>Kennebec__ME</t>
  </si>
  <si>
    <t>Kennebec</t>
  </si>
  <si>
    <t>Knox__ME</t>
  </si>
  <si>
    <t>Lincoln__ME</t>
  </si>
  <si>
    <t>Oxford__ME</t>
  </si>
  <si>
    <t>Oxford</t>
  </si>
  <si>
    <t>Penobscot__ME</t>
  </si>
  <si>
    <t>Penobscot</t>
  </si>
  <si>
    <t>Bangor</t>
  </si>
  <si>
    <t>Piscataquis__ME</t>
  </si>
  <si>
    <t>Piscataquis</t>
  </si>
  <si>
    <t>Sagadahoc__ME</t>
  </si>
  <si>
    <t>Sagadahoc</t>
  </si>
  <si>
    <t>Somerset__ME</t>
  </si>
  <si>
    <t>Waldo__ME</t>
  </si>
  <si>
    <t>Waldo</t>
  </si>
  <si>
    <t>Washington__ME</t>
  </si>
  <si>
    <t>York__ME</t>
  </si>
  <si>
    <t>York</t>
  </si>
  <si>
    <t>Alcona__MI</t>
  </si>
  <si>
    <t>MICHIGAN</t>
  </si>
  <si>
    <t>Alcona</t>
  </si>
  <si>
    <t>Alger__MI</t>
  </si>
  <si>
    <t>Alger</t>
  </si>
  <si>
    <t>Allegan__MI</t>
  </si>
  <si>
    <t>Allegan</t>
  </si>
  <si>
    <t>Alpena__MI</t>
  </si>
  <si>
    <t>Alpena</t>
  </si>
  <si>
    <t>Antrim__MI</t>
  </si>
  <si>
    <t>Antrim</t>
  </si>
  <si>
    <t>Arenac__MI</t>
  </si>
  <si>
    <t>Arenac</t>
  </si>
  <si>
    <t>Baraga__MI</t>
  </si>
  <si>
    <t>Baraga</t>
  </si>
  <si>
    <t>Barry__MI</t>
  </si>
  <si>
    <t>Barry</t>
  </si>
  <si>
    <t>Bay__MI</t>
  </si>
  <si>
    <t>Benzie__MI</t>
  </si>
  <si>
    <t>Benzie</t>
  </si>
  <si>
    <t>Berrien__MI</t>
  </si>
  <si>
    <t>Branch__MI</t>
  </si>
  <si>
    <t>Branch</t>
  </si>
  <si>
    <t>Calhoun__MI</t>
  </si>
  <si>
    <t>Cass__MI</t>
  </si>
  <si>
    <t>Charlevoix__MI</t>
  </si>
  <si>
    <t>Charlevoix</t>
  </si>
  <si>
    <t>Cheboygan__MI</t>
  </si>
  <si>
    <t>Cheboygan</t>
  </si>
  <si>
    <t>Chippewa__MI</t>
  </si>
  <si>
    <t>Chippewa</t>
  </si>
  <si>
    <t>Clare__MI</t>
  </si>
  <si>
    <t>Clare</t>
  </si>
  <si>
    <t>Clinton__MI</t>
  </si>
  <si>
    <t>Crawford__MI</t>
  </si>
  <si>
    <t>Delta__MI</t>
  </si>
  <si>
    <t>Dickinson__MI</t>
  </si>
  <si>
    <t>Eaton__MI</t>
  </si>
  <si>
    <t>Eaton</t>
  </si>
  <si>
    <t>Emmet__MI</t>
  </si>
  <si>
    <t>Genesee__MI</t>
  </si>
  <si>
    <t>Genesee</t>
  </si>
  <si>
    <t>Gladwin__MI</t>
  </si>
  <si>
    <t>Gladwin</t>
  </si>
  <si>
    <t>Gogebic__MI</t>
  </si>
  <si>
    <t>Gogebic</t>
  </si>
  <si>
    <t>Grand_Traverse__MI</t>
  </si>
  <si>
    <t>Grand Traverse</t>
  </si>
  <si>
    <t>Traverse City</t>
  </si>
  <si>
    <t>Gratiot__MI</t>
  </si>
  <si>
    <t>Gratiot</t>
  </si>
  <si>
    <t>Hillsdale__MI</t>
  </si>
  <si>
    <t>Hillsdale</t>
  </si>
  <si>
    <t>Houghton__MI</t>
  </si>
  <si>
    <t>Houghton</t>
  </si>
  <si>
    <t>Huron__MI</t>
  </si>
  <si>
    <t>Huron</t>
  </si>
  <si>
    <t>Ingham__MI</t>
  </si>
  <si>
    <t>Ingham</t>
  </si>
  <si>
    <t>Ionia__MI</t>
  </si>
  <si>
    <t>Ionia</t>
  </si>
  <si>
    <t>Iosco__MI</t>
  </si>
  <si>
    <t>Iosco</t>
  </si>
  <si>
    <t>Iron__MI</t>
  </si>
  <si>
    <t>Iron</t>
  </si>
  <si>
    <t>Isabella__MI</t>
  </si>
  <si>
    <t>Isabella</t>
  </si>
  <si>
    <t>Mt. Pleasant</t>
  </si>
  <si>
    <t>Jackson__MI</t>
  </si>
  <si>
    <t>Kalamazoo__MI</t>
  </si>
  <si>
    <t>Kalamazoo</t>
  </si>
  <si>
    <t>Kalkaska__MI</t>
  </si>
  <si>
    <t>Kalkaska</t>
  </si>
  <si>
    <t>Kent__MI</t>
  </si>
  <si>
    <t>Jenison</t>
  </si>
  <si>
    <t>Keweenaw__MI</t>
  </si>
  <si>
    <t>Keweenaw</t>
  </si>
  <si>
    <t>Lake__MI</t>
  </si>
  <si>
    <t>Lapeer__MI</t>
  </si>
  <si>
    <t>Lapeer</t>
  </si>
  <si>
    <t>Leelanau__MI</t>
  </si>
  <si>
    <t>Leelanau</t>
  </si>
  <si>
    <t>Lenawee__MI</t>
  </si>
  <si>
    <t>Lenawee</t>
  </si>
  <si>
    <t>Livingston__MI</t>
  </si>
  <si>
    <t>Luce__MI</t>
  </si>
  <si>
    <t>Luce</t>
  </si>
  <si>
    <t>Mackinac__MI</t>
  </si>
  <si>
    <t>Mackinac</t>
  </si>
  <si>
    <t>Macomb__MI</t>
  </si>
  <si>
    <t>Macomb</t>
  </si>
  <si>
    <t>Manistee__MI</t>
  </si>
  <si>
    <t>Manistee</t>
  </si>
  <si>
    <t>Marquette__MI</t>
  </si>
  <si>
    <t>Marquette</t>
  </si>
  <si>
    <t>Mason__MI</t>
  </si>
  <si>
    <t>Mecosta__MI</t>
  </si>
  <si>
    <t>Mecosta</t>
  </si>
  <si>
    <t>Menominee__MI</t>
  </si>
  <si>
    <t>Menominee</t>
  </si>
  <si>
    <t>Midland__MI</t>
  </si>
  <si>
    <t>Midland</t>
  </si>
  <si>
    <t>Missaukee__MI</t>
  </si>
  <si>
    <t>Missaukee</t>
  </si>
  <si>
    <t>Monroe__MI</t>
  </si>
  <si>
    <t>Montcalm__MI</t>
  </si>
  <si>
    <t>Montcalm</t>
  </si>
  <si>
    <t>Montmorency__MI</t>
  </si>
  <si>
    <t>Montmorency</t>
  </si>
  <si>
    <t>Muskegon__MI</t>
  </si>
  <si>
    <t>Muskegon</t>
  </si>
  <si>
    <t>Newaygo__MI</t>
  </si>
  <si>
    <t>Newaygo</t>
  </si>
  <si>
    <t>Oakland__MI</t>
  </si>
  <si>
    <t>Oakland</t>
  </si>
  <si>
    <t>Oceana__MI</t>
  </si>
  <si>
    <t>Oceana</t>
  </si>
  <si>
    <t>Ogemaw__MI</t>
  </si>
  <si>
    <t>Ogemaw</t>
  </si>
  <si>
    <t>Ontonagon__MI</t>
  </si>
  <si>
    <t>Ontonagon</t>
  </si>
  <si>
    <t>Osceola__MI</t>
  </si>
  <si>
    <t>Oscoda__MI</t>
  </si>
  <si>
    <t>Oscoda</t>
  </si>
  <si>
    <t>Otsego__MI</t>
  </si>
  <si>
    <t>Otsego</t>
  </si>
  <si>
    <t>Ottawa__MI</t>
  </si>
  <si>
    <t>Presque_Isle__MI</t>
  </si>
  <si>
    <t>Presque Isle</t>
  </si>
  <si>
    <t>Roscommon__MI</t>
  </si>
  <si>
    <t>Roscommon</t>
  </si>
  <si>
    <t>Saginaw__MI</t>
  </si>
  <si>
    <t>Saginaw</t>
  </si>
  <si>
    <t>Sanilac__MI</t>
  </si>
  <si>
    <t>Sanilac</t>
  </si>
  <si>
    <t>Schoolcraft__MI</t>
  </si>
  <si>
    <t>Schoolcraft</t>
  </si>
  <si>
    <t>Shiawassee__MI</t>
  </si>
  <si>
    <t>Shiawassee</t>
  </si>
  <si>
    <t>St__Clair__MI</t>
  </si>
  <si>
    <t>St__Joseph__MI</t>
  </si>
  <si>
    <t>Tuscola__MI</t>
  </si>
  <si>
    <t>Tuscola</t>
  </si>
  <si>
    <t>Van_Buren__MI</t>
  </si>
  <si>
    <t>Washtenaw__MI</t>
  </si>
  <si>
    <t>Washtenaw</t>
  </si>
  <si>
    <t>Ann Arbor</t>
  </si>
  <si>
    <t>Wayne__MI</t>
  </si>
  <si>
    <t>Wexford__MI</t>
  </si>
  <si>
    <t>Wexford</t>
  </si>
  <si>
    <t>Aitkin__MN</t>
  </si>
  <si>
    <t>MINNESOTA</t>
  </si>
  <si>
    <t>Aitkin</t>
  </si>
  <si>
    <t>Anoka__MN</t>
  </si>
  <si>
    <t>Anoka</t>
  </si>
  <si>
    <t>Becker__MN</t>
  </si>
  <si>
    <t>Becker</t>
  </si>
  <si>
    <t>Beltrami__MN</t>
  </si>
  <si>
    <t>Beltrami</t>
  </si>
  <si>
    <t>Benton__MN</t>
  </si>
  <si>
    <t>St Cloud</t>
  </si>
  <si>
    <t>Big_Stone__MN</t>
  </si>
  <si>
    <t>Big Stone</t>
  </si>
  <si>
    <t>Blue_Earth__MN</t>
  </si>
  <si>
    <t>Blue Earth</t>
  </si>
  <si>
    <t>Mankato</t>
  </si>
  <si>
    <t>Brown__MN</t>
  </si>
  <si>
    <t>Carlton__MN</t>
  </si>
  <si>
    <t>Carlton</t>
  </si>
  <si>
    <t>Carver__MN</t>
  </si>
  <si>
    <t>Carver</t>
  </si>
  <si>
    <t>Cass__MN</t>
  </si>
  <si>
    <t>Chippewa__MN</t>
  </si>
  <si>
    <t>Chisago__MN</t>
  </si>
  <si>
    <t>Chisago</t>
  </si>
  <si>
    <t>Clay__MN</t>
  </si>
  <si>
    <t>Clearwater__MN</t>
  </si>
  <si>
    <t>Cook__MN</t>
  </si>
  <si>
    <t>Cottonwood__MN</t>
  </si>
  <si>
    <t>Cottonwood</t>
  </si>
  <si>
    <t>Crow_Wing__MN</t>
  </si>
  <si>
    <t>Crow Wing</t>
  </si>
  <si>
    <t>Dakota__MN</t>
  </si>
  <si>
    <t>Dakota</t>
  </si>
  <si>
    <t>Dodge__MN</t>
  </si>
  <si>
    <t>Douglas__MN</t>
  </si>
  <si>
    <t>Faribault__MN</t>
  </si>
  <si>
    <t>Faribault</t>
  </si>
  <si>
    <t>Fillmore__MN</t>
  </si>
  <si>
    <t>Fillmore</t>
  </si>
  <si>
    <t>Freeborn__MN</t>
  </si>
  <si>
    <t>Freeborn</t>
  </si>
  <si>
    <t>Goodhue__MN</t>
  </si>
  <si>
    <t>Goodhue</t>
  </si>
  <si>
    <t>Red Wing</t>
  </si>
  <si>
    <t>Grant__MN</t>
  </si>
  <si>
    <t>Hennepin__MN</t>
  </si>
  <si>
    <t>Hennepin</t>
  </si>
  <si>
    <t>Houston__MN</t>
  </si>
  <si>
    <t>Hubbard__MN</t>
  </si>
  <si>
    <t>Hubbard</t>
  </si>
  <si>
    <t>Isanti__MN</t>
  </si>
  <si>
    <t>Isanti</t>
  </si>
  <si>
    <t>Itasca__MN</t>
  </si>
  <si>
    <t>Itasca</t>
  </si>
  <si>
    <t>Jackson__MN</t>
  </si>
  <si>
    <t>Kanabec__MN</t>
  </si>
  <si>
    <t>Kanabec</t>
  </si>
  <si>
    <t>Kandiyohi__MN</t>
  </si>
  <si>
    <t>Kandiyohi</t>
  </si>
  <si>
    <t>Kittson__MN</t>
  </si>
  <si>
    <t>Kittson</t>
  </si>
  <si>
    <t>Koochiching__MN</t>
  </si>
  <si>
    <t>Koochiching</t>
  </si>
  <si>
    <t>Lac_qui_Parle__MN</t>
  </si>
  <si>
    <t>Lac qui Parle</t>
  </si>
  <si>
    <t>Lake__MN</t>
  </si>
  <si>
    <t>Lake_of_the_Woods__MN</t>
  </si>
  <si>
    <t>Lake of the Woods</t>
  </si>
  <si>
    <t>Le_Sueur__MN</t>
  </si>
  <si>
    <t>Le Sueur</t>
  </si>
  <si>
    <t>Lincoln__MN</t>
  </si>
  <si>
    <t>Lyon__MN</t>
  </si>
  <si>
    <t>Mahnomen__MN</t>
  </si>
  <si>
    <t>Mahnomen</t>
  </si>
  <si>
    <t>Marshall__MN</t>
  </si>
  <si>
    <t>Martin__MN</t>
  </si>
  <si>
    <t>McLeod__MN</t>
  </si>
  <si>
    <t>McLeod</t>
  </si>
  <si>
    <t>Meeker__MN</t>
  </si>
  <si>
    <t>Meeker</t>
  </si>
  <si>
    <t>Mille_Lacs__MN</t>
  </si>
  <si>
    <t>Mille Lacs</t>
  </si>
  <si>
    <t>Morrison__MN</t>
  </si>
  <si>
    <t>Morrison</t>
  </si>
  <si>
    <t>Mower__MN</t>
  </si>
  <si>
    <t>Mower</t>
  </si>
  <si>
    <t>Murray__MN</t>
  </si>
  <si>
    <t>Nicollet__MN</t>
  </si>
  <si>
    <t>Nicollet</t>
  </si>
  <si>
    <t>Nobles__MN</t>
  </si>
  <si>
    <t>Nobles</t>
  </si>
  <si>
    <t>Norman__MN</t>
  </si>
  <si>
    <t>Norman</t>
  </si>
  <si>
    <t>Olmsted__MN</t>
  </si>
  <si>
    <t>Olmsted</t>
  </si>
  <si>
    <t>Rochester</t>
  </si>
  <si>
    <t>Otter_Tail__MN</t>
  </si>
  <si>
    <t>Otter Tail</t>
  </si>
  <si>
    <t>Pennington__MN</t>
  </si>
  <si>
    <t>Pennington</t>
  </si>
  <si>
    <t>Pine__MN</t>
  </si>
  <si>
    <t>Pine</t>
  </si>
  <si>
    <t>Pipestone__MN</t>
  </si>
  <si>
    <t>Pipestone</t>
  </si>
  <si>
    <t>Polk__MN</t>
  </si>
  <si>
    <t>Pope__MN</t>
  </si>
  <si>
    <t>Ramsey__MN</t>
  </si>
  <si>
    <t>Ramsey</t>
  </si>
  <si>
    <t>Red_Lake__MN</t>
  </si>
  <si>
    <t>Red Lake</t>
  </si>
  <si>
    <t>Redwood__MN</t>
  </si>
  <si>
    <t>Redwood</t>
  </si>
  <si>
    <t>Renville__MN</t>
  </si>
  <si>
    <t>Renville</t>
  </si>
  <si>
    <t>Rice__MN</t>
  </si>
  <si>
    <t>Rock__MN</t>
  </si>
  <si>
    <t>Rock</t>
  </si>
  <si>
    <t>Roseau__MN</t>
  </si>
  <si>
    <t>Roseau</t>
  </si>
  <si>
    <t>Scott__MN</t>
  </si>
  <si>
    <t>Sherburne__MN</t>
  </si>
  <si>
    <t>Sherburne</t>
  </si>
  <si>
    <t>Sibley__MN</t>
  </si>
  <si>
    <t>Sibley</t>
  </si>
  <si>
    <t>St__Louis__MN</t>
  </si>
  <si>
    <t>St  Louis</t>
  </si>
  <si>
    <t>Stearns__MN</t>
  </si>
  <si>
    <t>Stearns</t>
  </si>
  <si>
    <t>Steele__MN</t>
  </si>
  <si>
    <t>Steele</t>
  </si>
  <si>
    <t>Stevens__MN</t>
  </si>
  <si>
    <t>Swift__MN</t>
  </si>
  <si>
    <t>Swift</t>
  </si>
  <si>
    <t>Todd__MN</t>
  </si>
  <si>
    <t>Traverse__MN</t>
  </si>
  <si>
    <t>Traverse</t>
  </si>
  <si>
    <t>Wabasha__MN</t>
  </si>
  <si>
    <t>Wabasha</t>
  </si>
  <si>
    <t>Wadena__MN</t>
  </si>
  <si>
    <t>Wadena</t>
  </si>
  <si>
    <t>Waseca__MN</t>
  </si>
  <si>
    <t>Waseca</t>
  </si>
  <si>
    <t>Washington__MN</t>
  </si>
  <si>
    <t>Watonwan__MN</t>
  </si>
  <si>
    <t>Watonwan</t>
  </si>
  <si>
    <t>Wilkin__MN</t>
  </si>
  <si>
    <t>Wilkin</t>
  </si>
  <si>
    <t>Winona__MN</t>
  </si>
  <si>
    <t>Winona</t>
  </si>
  <si>
    <t>Wright__MN</t>
  </si>
  <si>
    <t>Yellow_Medicine__MN</t>
  </si>
  <si>
    <t>Yellow Medicine</t>
  </si>
  <si>
    <t>Adair__MO</t>
  </si>
  <si>
    <t>MISSOURI</t>
  </si>
  <si>
    <t>Andrew__MO</t>
  </si>
  <si>
    <t>Andrew</t>
  </si>
  <si>
    <t>Atchison__MO</t>
  </si>
  <si>
    <t>Audrain__MO</t>
  </si>
  <si>
    <t>Audrain</t>
  </si>
  <si>
    <t>Barry__MO</t>
  </si>
  <si>
    <t>Barton__MO</t>
  </si>
  <si>
    <t>Bates__MO</t>
  </si>
  <si>
    <t>Bates</t>
  </si>
  <si>
    <t>Benton__MO</t>
  </si>
  <si>
    <t>Bollinger__MO</t>
  </si>
  <si>
    <t>Bollinger</t>
  </si>
  <si>
    <t>Boone__MO</t>
  </si>
  <si>
    <t>Buchanan__MO</t>
  </si>
  <si>
    <t>Butler__MO</t>
  </si>
  <si>
    <t>Caldwell__MO</t>
  </si>
  <si>
    <t>Callaway__MO</t>
  </si>
  <si>
    <t>Callaway</t>
  </si>
  <si>
    <t>Camden__MO</t>
  </si>
  <si>
    <t>Cape_Girardeau__MO</t>
  </si>
  <si>
    <t>Cape Girardeau</t>
  </si>
  <si>
    <t>Carroll__MO</t>
  </si>
  <si>
    <t>Carter__MO</t>
  </si>
  <si>
    <t>Cass__MO</t>
  </si>
  <si>
    <t>Cedar__MO</t>
  </si>
  <si>
    <t>Chariton__MO</t>
  </si>
  <si>
    <t>Chariton</t>
  </si>
  <si>
    <t>Christian__MO</t>
  </si>
  <si>
    <t>Clark__MO</t>
  </si>
  <si>
    <t>Clay__MO</t>
  </si>
  <si>
    <t>Clinton__MO</t>
  </si>
  <si>
    <t>Cole__MO</t>
  </si>
  <si>
    <t>Cole</t>
  </si>
  <si>
    <t>Cooper__MO</t>
  </si>
  <si>
    <t>Cooper</t>
  </si>
  <si>
    <t>Crawford__MO</t>
  </si>
  <si>
    <t>Dade__MO</t>
  </si>
  <si>
    <t>Dallas__MO</t>
  </si>
  <si>
    <t>Daviess__MO</t>
  </si>
  <si>
    <t>DeKalb__MO</t>
  </si>
  <si>
    <t>Dent__MO</t>
  </si>
  <si>
    <t>Dent</t>
  </si>
  <si>
    <t>Douglas__MO</t>
  </si>
  <si>
    <t>Dunklin__MO</t>
  </si>
  <si>
    <t>Dunklin</t>
  </si>
  <si>
    <t>Franklin__MO</t>
  </si>
  <si>
    <t>Gasconade__MO</t>
  </si>
  <si>
    <t>Gasconade</t>
  </si>
  <si>
    <t>Gentry__MO</t>
  </si>
  <si>
    <t>Gentry</t>
  </si>
  <si>
    <t>Greene__MO</t>
  </si>
  <si>
    <t>Grundy__MO</t>
  </si>
  <si>
    <t>Harrison__MO</t>
  </si>
  <si>
    <t>Henry__MO</t>
  </si>
  <si>
    <t>Hickory__MO</t>
  </si>
  <si>
    <t>Hickory</t>
  </si>
  <si>
    <t>Holt__MO</t>
  </si>
  <si>
    <t>Holt</t>
  </si>
  <si>
    <t>Howard__MO</t>
  </si>
  <si>
    <t>Howell__MO</t>
  </si>
  <si>
    <t>Howell</t>
  </si>
  <si>
    <t>Iron__MO</t>
  </si>
  <si>
    <t>Jackson__MO</t>
  </si>
  <si>
    <t>Jasper__MO</t>
  </si>
  <si>
    <t>Jefferson__MO</t>
  </si>
  <si>
    <t>Johnson__MO</t>
  </si>
  <si>
    <t>Knox__MO</t>
  </si>
  <si>
    <t>Laclede__MO</t>
  </si>
  <si>
    <t>Laclede</t>
  </si>
  <si>
    <t>Lafayette__MO</t>
  </si>
  <si>
    <t>Lawrence__MO</t>
  </si>
  <si>
    <t>Lewis__MO</t>
  </si>
  <si>
    <t>Lincoln__MO</t>
  </si>
  <si>
    <t>Linn__MO</t>
  </si>
  <si>
    <t>Livingston__MO</t>
  </si>
  <si>
    <t>Macon__MO</t>
  </si>
  <si>
    <t>Madison__MO</t>
  </si>
  <si>
    <t>Maries__MO</t>
  </si>
  <si>
    <t>Maries</t>
  </si>
  <si>
    <t>Marion__MO</t>
  </si>
  <si>
    <t>McDonald__MO</t>
  </si>
  <si>
    <t>McDonald</t>
  </si>
  <si>
    <t>Mercer__MO</t>
  </si>
  <si>
    <t>Miller__MO</t>
  </si>
  <si>
    <t>Mississippi__MO</t>
  </si>
  <si>
    <t>Moniteau__MO</t>
  </si>
  <si>
    <t>Moniteau</t>
  </si>
  <si>
    <t>Monroe__MO</t>
  </si>
  <si>
    <t>Montgomery__MO</t>
  </si>
  <si>
    <t>Morgan__MO</t>
  </si>
  <si>
    <t>New_Madrid__MO</t>
  </si>
  <si>
    <t>New Madrid</t>
  </si>
  <si>
    <t>Newton__MO</t>
  </si>
  <si>
    <t>Nodaway__MO</t>
  </si>
  <si>
    <t>Nodaway</t>
  </si>
  <si>
    <t>Oregon__MO</t>
  </si>
  <si>
    <t>Oregon</t>
  </si>
  <si>
    <t>Osage__MO</t>
  </si>
  <si>
    <t>Ozark__MO</t>
  </si>
  <si>
    <t>Ozark</t>
  </si>
  <si>
    <t>Pemiscot__MO</t>
  </si>
  <si>
    <t>Pemiscot</t>
  </si>
  <si>
    <t>Perry__MO</t>
  </si>
  <si>
    <t>Pettis__MO</t>
  </si>
  <si>
    <t>Pettis</t>
  </si>
  <si>
    <t>Phelps__MO</t>
  </si>
  <si>
    <t>Phelps</t>
  </si>
  <si>
    <t>Pike__MO</t>
  </si>
  <si>
    <t>Platte__MO</t>
  </si>
  <si>
    <t>Platte</t>
  </si>
  <si>
    <t>Polk__MO</t>
  </si>
  <si>
    <t>Pulaski__MO</t>
  </si>
  <si>
    <t>Putnam__MO</t>
  </si>
  <si>
    <t>Ralls__MO</t>
  </si>
  <si>
    <t>Ralls</t>
  </si>
  <si>
    <t>Randolph__MO</t>
  </si>
  <si>
    <t>Ray__MO</t>
  </si>
  <si>
    <t>Ray</t>
  </si>
  <si>
    <t>Reynolds__MO</t>
  </si>
  <si>
    <t>Reynolds</t>
  </si>
  <si>
    <t>Ripley__MO</t>
  </si>
  <si>
    <t>Sainte_Genevieve__MO</t>
  </si>
  <si>
    <t>Sainte Genevieve</t>
  </si>
  <si>
    <t>Saline__MO</t>
  </si>
  <si>
    <t>Schuyler__MO</t>
  </si>
  <si>
    <t>Scotland__MO</t>
  </si>
  <si>
    <t>Scotland</t>
  </si>
  <si>
    <t>Scott__MO</t>
  </si>
  <si>
    <t>Shannon__MO</t>
  </si>
  <si>
    <t>Shannon</t>
  </si>
  <si>
    <t>Shelby__MO</t>
  </si>
  <si>
    <t>St__Charles__MO</t>
  </si>
  <si>
    <t>St__Clair__MO</t>
  </si>
  <si>
    <t>St__Francois__MO</t>
  </si>
  <si>
    <t>St  Francois</t>
  </si>
  <si>
    <t>St__Louis__MO</t>
  </si>
  <si>
    <t>St__Louis_Co___MO</t>
  </si>
  <si>
    <t xml:space="preserve">St  Louis Co </t>
  </si>
  <si>
    <t>Stoddard__MO</t>
  </si>
  <si>
    <t>Stoddard</t>
  </si>
  <si>
    <t>Stone__MO</t>
  </si>
  <si>
    <t>Sullivan__MO</t>
  </si>
  <si>
    <t>Taney__MO</t>
  </si>
  <si>
    <t>Taney</t>
  </si>
  <si>
    <t>Texas__MO</t>
  </si>
  <si>
    <t>Texas</t>
  </si>
  <si>
    <t>Vernon__MO</t>
  </si>
  <si>
    <t>Warren__MO</t>
  </si>
  <si>
    <t>Washington__MO</t>
  </si>
  <si>
    <t>Wayne__MO</t>
  </si>
  <si>
    <t>Webster__MO</t>
  </si>
  <si>
    <t>Worth__MO</t>
  </si>
  <si>
    <t>Wright__MO</t>
  </si>
  <si>
    <t>Adams__MS</t>
  </si>
  <si>
    <t>MISSISSIPPI</t>
  </si>
  <si>
    <t>Alcorn__MS</t>
  </si>
  <si>
    <t>Alcorn</t>
  </si>
  <si>
    <t>Amite__MS</t>
  </si>
  <si>
    <t>Amite</t>
  </si>
  <si>
    <t>Attala__MS</t>
  </si>
  <si>
    <t>Attala</t>
  </si>
  <si>
    <t>Benton__MS</t>
  </si>
  <si>
    <t>Bolivar__MS</t>
  </si>
  <si>
    <t>Bolivar</t>
  </si>
  <si>
    <t>Calhoun__MS</t>
  </si>
  <si>
    <t>Carroll__MS</t>
  </si>
  <si>
    <t>Chickasaw__MS</t>
  </si>
  <si>
    <t>Choctaw__MS</t>
  </si>
  <si>
    <t>Claiborne__MS</t>
  </si>
  <si>
    <t>Clarke__MS</t>
  </si>
  <si>
    <t>Clay__MS</t>
  </si>
  <si>
    <t>Coahoma__MS</t>
  </si>
  <si>
    <t>Coahoma</t>
  </si>
  <si>
    <t>Copiah__MS</t>
  </si>
  <si>
    <t>Copiah</t>
  </si>
  <si>
    <t>Covington__MS</t>
  </si>
  <si>
    <t>DeSoto__MS</t>
  </si>
  <si>
    <t>Forrest__MS</t>
  </si>
  <si>
    <t>Forrest</t>
  </si>
  <si>
    <t>Franklin__MS</t>
  </si>
  <si>
    <t>George__MS</t>
  </si>
  <si>
    <t>George</t>
  </si>
  <si>
    <t>Greene__MS</t>
  </si>
  <si>
    <t>Grenada__MS</t>
  </si>
  <si>
    <t>Grenada</t>
  </si>
  <si>
    <t>Hancock__MS</t>
  </si>
  <si>
    <t>Harrison__MS</t>
  </si>
  <si>
    <t>Hinds__MS</t>
  </si>
  <si>
    <t>Hinds</t>
  </si>
  <si>
    <t>Holmes__MS</t>
  </si>
  <si>
    <t>Humphreys__MS</t>
  </si>
  <si>
    <t>Humphreys</t>
  </si>
  <si>
    <t>Issaquena__MS</t>
  </si>
  <si>
    <t>Issaquena</t>
  </si>
  <si>
    <t>Itawamba__MS</t>
  </si>
  <si>
    <t>Itawamba</t>
  </si>
  <si>
    <t>Jackson__MS</t>
  </si>
  <si>
    <t>Gautier (optional: Pascagoula Moss Point)</t>
  </si>
  <si>
    <t>Jasper__MS</t>
  </si>
  <si>
    <t>Jefferson__MS</t>
  </si>
  <si>
    <t>Jefferson_Davis__MS</t>
  </si>
  <si>
    <t>Jones__MS</t>
  </si>
  <si>
    <t>Kemper__MS</t>
  </si>
  <si>
    <t>Kemper</t>
  </si>
  <si>
    <t>Lafayette__MS</t>
  </si>
  <si>
    <t>Lamar__MS</t>
  </si>
  <si>
    <t>Lauderdale__MS</t>
  </si>
  <si>
    <t>Lawrence__MS</t>
  </si>
  <si>
    <t>Leake__MS</t>
  </si>
  <si>
    <t>Leake</t>
  </si>
  <si>
    <t>Lee__MS</t>
  </si>
  <si>
    <t>Leflore__MS</t>
  </si>
  <si>
    <t>Leflore</t>
  </si>
  <si>
    <t>Lincoln__MS</t>
  </si>
  <si>
    <t>Lowndes__MS</t>
  </si>
  <si>
    <t>Madison__MS</t>
  </si>
  <si>
    <t>Marion__MS</t>
  </si>
  <si>
    <t>Marshall__MS</t>
  </si>
  <si>
    <t>Monroe__MS</t>
  </si>
  <si>
    <t>Montgomery__MS</t>
  </si>
  <si>
    <t>Neshoba__MS</t>
  </si>
  <si>
    <t>Neshoba</t>
  </si>
  <si>
    <t>Newton__MS</t>
  </si>
  <si>
    <t>Noxubee__MS</t>
  </si>
  <si>
    <t>Noxubee</t>
  </si>
  <si>
    <t>Oktibbeha__MS</t>
  </si>
  <si>
    <t>Oktibbeha</t>
  </si>
  <si>
    <t>Panola__MS</t>
  </si>
  <si>
    <t>Panola</t>
  </si>
  <si>
    <t>Pearl_River__MS</t>
  </si>
  <si>
    <t>Pearl River</t>
  </si>
  <si>
    <t>Perry__MS</t>
  </si>
  <si>
    <t>Pike__MS</t>
  </si>
  <si>
    <t>Pontotoc__MS</t>
  </si>
  <si>
    <t>Pontotoc</t>
  </si>
  <si>
    <t>Prentiss__MS</t>
  </si>
  <si>
    <t>Prentiss</t>
  </si>
  <si>
    <t>Quitman__MS</t>
  </si>
  <si>
    <t>Rankin__MS</t>
  </si>
  <si>
    <t>Rankin</t>
  </si>
  <si>
    <t>Scott__MS</t>
  </si>
  <si>
    <t>Sharkey__MS</t>
  </si>
  <si>
    <t>Sharkey</t>
  </si>
  <si>
    <t>Simpson__MS</t>
  </si>
  <si>
    <t>Smith__MS</t>
  </si>
  <si>
    <t>Stone__MS</t>
  </si>
  <si>
    <t>Sunflower__MS</t>
  </si>
  <si>
    <t>Sunflower</t>
  </si>
  <si>
    <t>Tallahatchie__MS</t>
  </si>
  <si>
    <t>Tallahatchie</t>
  </si>
  <si>
    <t>Tate__MS</t>
  </si>
  <si>
    <t>Tate</t>
  </si>
  <si>
    <t>Tippah__MS</t>
  </si>
  <si>
    <t>Tippah</t>
  </si>
  <si>
    <t>Tishomingo__MS</t>
  </si>
  <si>
    <t>Tishomingo</t>
  </si>
  <si>
    <t>Tunica__MS</t>
  </si>
  <si>
    <t>Tunica</t>
  </si>
  <si>
    <t>Union__MS</t>
  </si>
  <si>
    <t>Walthall__MS</t>
  </si>
  <si>
    <t>Walthall</t>
  </si>
  <si>
    <t>Warren__MS</t>
  </si>
  <si>
    <t>Washington__MS</t>
  </si>
  <si>
    <t>Wayne__MS</t>
  </si>
  <si>
    <t>Webster__MS</t>
  </si>
  <si>
    <t>Wilkinson__MS</t>
  </si>
  <si>
    <t>Winston__MS</t>
  </si>
  <si>
    <t>Yalobusha__MS</t>
  </si>
  <si>
    <t>Yalobusha</t>
  </si>
  <si>
    <t>Yazoo__MS</t>
  </si>
  <si>
    <t>Yazoo</t>
  </si>
  <si>
    <t>Beaverhead__MT</t>
  </si>
  <si>
    <t>MONTANA</t>
  </si>
  <si>
    <t>Beaverhead</t>
  </si>
  <si>
    <t>Big_Horn__MT</t>
  </si>
  <si>
    <t>Big Horn</t>
  </si>
  <si>
    <t>Blaine__MT</t>
  </si>
  <si>
    <t>Broadwater__MT</t>
  </si>
  <si>
    <t>Broadwater</t>
  </si>
  <si>
    <t>Carbon__MT</t>
  </si>
  <si>
    <t>Carbon</t>
  </si>
  <si>
    <t>Carter__MT</t>
  </si>
  <si>
    <t>Cascade__MT</t>
  </si>
  <si>
    <t>Cascade</t>
  </si>
  <si>
    <t>Chouteau__MT</t>
  </si>
  <si>
    <t>Chouteau</t>
  </si>
  <si>
    <t>Custer__MT</t>
  </si>
  <si>
    <t>Daniels__MT</t>
  </si>
  <si>
    <t>Daniels</t>
  </si>
  <si>
    <t>Dawson__MT</t>
  </si>
  <si>
    <t>Deer_Lodge__MT</t>
  </si>
  <si>
    <t>Deer Lodge</t>
  </si>
  <si>
    <t>Fallon__MT</t>
  </si>
  <si>
    <t>Fallon</t>
  </si>
  <si>
    <t>Fergus__MT</t>
  </si>
  <si>
    <t>Fergus</t>
  </si>
  <si>
    <t>Flathead__MT</t>
  </si>
  <si>
    <t>Flathead</t>
  </si>
  <si>
    <t>Gallatin__MT</t>
  </si>
  <si>
    <t>Garfield__MT</t>
  </si>
  <si>
    <t>Glacier__MT</t>
  </si>
  <si>
    <t>Glacier</t>
  </si>
  <si>
    <t>Golden_Valley__MT</t>
  </si>
  <si>
    <t>Golden Valley</t>
  </si>
  <si>
    <t>Granite__MT</t>
  </si>
  <si>
    <t>Granite</t>
  </si>
  <si>
    <t>Hill__MT</t>
  </si>
  <si>
    <t>Hill</t>
  </si>
  <si>
    <t>Jefferson__MT</t>
  </si>
  <si>
    <t>Judith_Basin__MT</t>
  </si>
  <si>
    <t>Judith Basin</t>
  </si>
  <si>
    <t>Lake__MT</t>
  </si>
  <si>
    <t>Lewis_and_Clark__MT</t>
  </si>
  <si>
    <t>Lewis and Clark</t>
  </si>
  <si>
    <t>Liberty__MT</t>
  </si>
  <si>
    <t>Lincoln__MT</t>
  </si>
  <si>
    <t>Madison__MT</t>
  </si>
  <si>
    <t>McCone__MT</t>
  </si>
  <si>
    <t>McCone</t>
  </si>
  <si>
    <t>Meagher__MT</t>
  </si>
  <si>
    <t>Meagher</t>
  </si>
  <si>
    <t>Mineral__MT</t>
  </si>
  <si>
    <t>Missoula__MT</t>
  </si>
  <si>
    <t>Missoula</t>
  </si>
  <si>
    <t>Musselshell__MT</t>
  </si>
  <si>
    <t>Musselshell</t>
  </si>
  <si>
    <t>Park__MT</t>
  </si>
  <si>
    <t>Petroleum__MT</t>
  </si>
  <si>
    <t>Petroleum</t>
  </si>
  <si>
    <t>Phillips__MT</t>
  </si>
  <si>
    <t>Pondera__MT</t>
  </si>
  <si>
    <t>Pondera</t>
  </si>
  <si>
    <t>Powder_River__MT</t>
  </si>
  <si>
    <t>Powder River</t>
  </si>
  <si>
    <t>Powell__MT</t>
  </si>
  <si>
    <t>Prairie__MT</t>
  </si>
  <si>
    <t>Ravalli__MT</t>
  </si>
  <si>
    <t>Ravalli</t>
  </si>
  <si>
    <t>Richland__MT</t>
  </si>
  <si>
    <t>Roosevelt__MT</t>
  </si>
  <si>
    <t>Roosevelt</t>
  </si>
  <si>
    <t>Rosebud__MT</t>
  </si>
  <si>
    <t>Rosebud</t>
  </si>
  <si>
    <t>Sanders__MT</t>
  </si>
  <si>
    <t>Sanders</t>
  </si>
  <si>
    <t>Sheridan__MT</t>
  </si>
  <si>
    <t>Silver_Bow__MT</t>
  </si>
  <si>
    <t>Silver Bow</t>
  </si>
  <si>
    <t>Stillwater__MT</t>
  </si>
  <si>
    <t>Stillwater</t>
  </si>
  <si>
    <t>Sweet_Grass__MT</t>
  </si>
  <si>
    <t>Sweet Grass</t>
  </si>
  <si>
    <t>Teton__MT</t>
  </si>
  <si>
    <t>Toole__MT</t>
  </si>
  <si>
    <t>Toole</t>
  </si>
  <si>
    <t>Treasure__MT</t>
  </si>
  <si>
    <t>Treasure</t>
  </si>
  <si>
    <t>Valley__MT</t>
  </si>
  <si>
    <t>Wheatland__MT</t>
  </si>
  <si>
    <t>Wheatland</t>
  </si>
  <si>
    <t>Wibaux__MT</t>
  </si>
  <si>
    <t>Wibaux</t>
  </si>
  <si>
    <t>Yellowstone__MT</t>
  </si>
  <si>
    <t>Yellowstone</t>
  </si>
  <si>
    <t>Alamance__NC</t>
  </si>
  <si>
    <t>NORTH CAROLINA</t>
  </si>
  <si>
    <t>Alamance</t>
  </si>
  <si>
    <t>Alexander__NC</t>
  </si>
  <si>
    <t>Alleghany__NC</t>
  </si>
  <si>
    <t>Alleghany</t>
  </si>
  <si>
    <t>Anson__NC</t>
  </si>
  <si>
    <t>Anson</t>
  </si>
  <si>
    <t>Ashe__NC</t>
  </si>
  <si>
    <t>Ashe</t>
  </si>
  <si>
    <t>Avery__NC</t>
  </si>
  <si>
    <t>Avery</t>
  </si>
  <si>
    <t>Beaufort__NC</t>
  </si>
  <si>
    <t>Beaufort</t>
  </si>
  <si>
    <t>Bertie__NC</t>
  </si>
  <si>
    <t>Bertie</t>
  </si>
  <si>
    <t>Bladen__NC</t>
  </si>
  <si>
    <t>Bladen</t>
  </si>
  <si>
    <t>Brunswick__NC</t>
  </si>
  <si>
    <t>Brunswick</t>
  </si>
  <si>
    <t>Buncombe__NC</t>
  </si>
  <si>
    <t>Buncombe</t>
  </si>
  <si>
    <t>Burke__NC</t>
  </si>
  <si>
    <t>Cabarrus__NC</t>
  </si>
  <si>
    <t>Cabarrus</t>
  </si>
  <si>
    <t>Caldwell__NC</t>
  </si>
  <si>
    <t>Camden__NC</t>
  </si>
  <si>
    <t>Carteret__NC</t>
  </si>
  <si>
    <t>Carteret</t>
  </si>
  <si>
    <t>Caswell__NC</t>
  </si>
  <si>
    <t>Caswell</t>
  </si>
  <si>
    <t>Catawba__NC</t>
  </si>
  <si>
    <t>Catawba</t>
  </si>
  <si>
    <t>Chatham__NC</t>
  </si>
  <si>
    <t>Cherokee__NC</t>
  </si>
  <si>
    <t>Chowan__NC</t>
  </si>
  <si>
    <t>Chowan</t>
  </si>
  <si>
    <t>Clay__NC</t>
  </si>
  <si>
    <t>Cleveland__NC</t>
  </si>
  <si>
    <t>Columbus__NC</t>
  </si>
  <si>
    <t>Craven__NC</t>
  </si>
  <si>
    <t>Craven</t>
  </si>
  <si>
    <t>Cumberland__NC</t>
  </si>
  <si>
    <t>Currituck__NC</t>
  </si>
  <si>
    <t>Currituck</t>
  </si>
  <si>
    <t>Dare__NC</t>
  </si>
  <si>
    <t>Dare</t>
  </si>
  <si>
    <t>Davidson__NC</t>
  </si>
  <si>
    <t>Davidson</t>
  </si>
  <si>
    <t>Davie__NC</t>
  </si>
  <si>
    <t>Davie</t>
  </si>
  <si>
    <t>Duplin__NC</t>
  </si>
  <si>
    <t>Duplin</t>
  </si>
  <si>
    <t>Durham__NC</t>
  </si>
  <si>
    <t>Durham</t>
  </si>
  <si>
    <t>Edgecombe__NC</t>
  </si>
  <si>
    <t>Edgecombe</t>
  </si>
  <si>
    <t>Forsyth__NC</t>
  </si>
  <si>
    <t>Winston-Salem</t>
  </si>
  <si>
    <t>Franklin__NC</t>
  </si>
  <si>
    <t>Gaston__NC</t>
  </si>
  <si>
    <t>Gaston</t>
  </si>
  <si>
    <t>Gates__NC</t>
  </si>
  <si>
    <t>Gates</t>
  </si>
  <si>
    <t>Graham__NC</t>
  </si>
  <si>
    <t>Granville__NC</t>
  </si>
  <si>
    <t>Granville</t>
  </si>
  <si>
    <t>Greene__NC</t>
  </si>
  <si>
    <t>Guilford__NC</t>
  </si>
  <si>
    <t>Guilford</t>
  </si>
  <si>
    <t>Halifax__NC</t>
  </si>
  <si>
    <t>Halifax</t>
  </si>
  <si>
    <t>Harnett__NC</t>
  </si>
  <si>
    <t>Harnett</t>
  </si>
  <si>
    <t>Haywood__NC</t>
  </si>
  <si>
    <t>Haywood</t>
  </si>
  <si>
    <t>Henderson__NC</t>
  </si>
  <si>
    <t>Hertford__NC</t>
  </si>
  <si>
    <t>Hertford</t>
  </si>
  <si>
    <t>Hoke__NC</t>
  </si>
  <si>
    <t>Hoke</t>
  </si>
  <si>
    <t>Hyde__NC</t>
  </si>
  <si>
    <t>Hyde</t>
  </si>
  <si>
    <t>Iredell__NC</t>
  </si>
  <si>
    <t>Iredell</t>
  </si>
  <si>
    <t>Jackson__NC</t>
  </si>
  <si>
    <t>Johnston__NC</t>
  </si>
  <si>
    <t>Johnston</t>
  </si>
  <si>
    <t>Jones__NC</t>
  </si>
  <si>
    <t>Lee__NC</t>
  </si>
  <si>
    <t>Lenoir__NC</t>
  </si>
  <si>
    <t>Lenoir</t>
  </si>
  <si>
    <t>Kinston</t>
  </si>
  <si>
    <t>Lincoln__NC</t>
  </si>
  <si>
    <t>Macon__NC</t>
  </si>
  <si>
    <t>Madison__NC</t>
  </si>
  <si>
    <t>Martin__NC</t>
  </si>
  <si>
    <t>McDowell__NC</t>
  </si>
  <si>
    <t>McDowell</t>
  </si>
  <si>
    <t>Mecklenburg__NC</t>
  </si>
  <si>
    <t>Mecklenburg</t>
  </si>
  <si>
    <t>Mitchell__NC</t>
  </si>
  <si>
    <t>Montgomery__NC</t>
  </si>
  <si>
    <t>Moore__NC</t>
  </si>
  <si>
    <t>Moore</t>
  </si>
  <si>
    <t>Nash__NC</t>
  </si>
  <si>
    <t>Nash</t>
  </si>
  <si>
    <t>New_Hanover__NC</t>
  </si>
  <si>
    <t>New Hanover</t>
  </si>
  <si>
    <t>Northampton__NC</t>
  </si>
  <si>
    <t>Northampton</t>
  </si>
  <si>
    <t>Onslow__NC</t>
  </si>
  <si>
    <t>Onslow</t>
  </si>
  <si>
    <t>Orange__NC</t>
  </si>
  <si>
    <t>Pamlico__NC</t>
  </si>
  <si>
    <t>Pamlico</t>
  </si>
  <si>
    <t>Pasquotank__NC</t>
  </si>
  <si>
    <t>Pasquotank</t>
  </si>
  <si>
    <t>Pender__NC</t>
  </si>
  <si>
    <t>Pender</t>
  </si>
  <si>
    <t>Perquimans__NC</t>
  </si>
  <si>
    <t>Perquimans</t>
  </si>
  <si>
    <t>Person__NC</t>
  </si>
  <si>
    <t>Person</t>
  </si>
  <si>
    <t>Pitt__NC</t>
  </si>
  <si>
    <t>Pitt</t>
  </si>
  <si>
    <t>Polk__NC</t>
  </si>
  <si>
    <t>Randolph__NC</t>
  </si>
  <si>
    <t>Richmond__NC</t>
  </si>
  <si>
    <t>Robeson__NC</t>
  </si>
  <si>
    <t>Robeson</t>
  </si>
  <si>
    <t>Rockingham__NC</t>
  </si>
  <si>
    <t>Rockingham</t>
  </si>
  <si>
    <t>Rowan__NC</t>
  </si>
  <si>
    <t>Rutherford__NC</t>
  </si>
  <si>
    <t>Rutherford</t>
  </si>
  <si>
    <t>Sampson__NC</t>
  </si>
  <si>
    <t>Sampson</t>
  </si>
  <si>
    <t>Scotland__NC</t>
  </si>
  <si>
    <t>Stanly__NC</t>
  </si>
  <si>
    <t>Stanly</t>
  </si>
  <si>
    <t>Stokes__NC</t>
  </si>
  <si>
    <t>Stokes</t>
  </si>
  <si>
    <t>Surry__NC</t>
  </si>
  <si>
    <t>Surry</t>
  </si>
  <si>
    <t>Swain__NC</t>
  </si>
  <si>
    <t>Swain</t>
  </si>
  <si>
    <t>Transylvania__NC</t>
  </si>
  <si>
    <t>Transylvania</t>
  </si>
  <si>
    <t>Tyrrell__NC</t>
  </si>
  <si>
    <t>Tyrrell</t>
  </si>
  <si>
    <t>Union__NC</t>
  </si>
  <si>
    <t>Vance__NC</t>
  </si>
  <si>
    <t>Vance</t>
  </si>
  <si>
    <t>Wake__NC</t>
  </si>
  <si>
    <t>Wake</t>
  </si>
  <si>
    <t>Warren__NC</t>
  </si>
  <si>
    <t>Washington__NC</t>
  </si>
  <si>
    <t>Watauga__NC</t>
  </si>
  <si>
    <t>Watauga</t>
  </si>
  <si>
    <t>Wayne__NC</t>
  </si>
  <si>
    <t>Wilkes__NC</t>
  </si>
  <si>
    <t>Wilson__NC</t>
  </si>
  <si>
    <t>Yadkin__NC</t>
  </si>
  <si>
    <t>Yadkin</t>
  </si>
  <si>
    <t>Yancey__NC</t>
  </si>
  <si>
    <t>Yancey</t>
  </si>
  <si>
    <t>Adams__ND</t>
  </si>
  <si>
    <t>NORTH DAKOTA</t>
  </si>
  <si>
    <t>Barnes__ND</t>
  </si>
  <si>
    <t>Barnes</t>
  </si>
  <si>
    <t>Benson__ND</t>
  </si>
  <si>
    <t>Benson</t>
  </si>
  <si>
    <t>Billings__ND</t>
  </si>
  <si>
    <t>Billings</t>
  </si>
  <si>
    <t>Bottineau__ND</t>
  </si>
  <si>
    <t>Bottineau</t>
  </si>
  <si>
    <t>Bowman__ND</t>
  </si>
  <si>
    <t>Bowman</t>
  </si>
  <si>
    <t>Burke__ND</t>
  </si>
  <si>
    <t>Burleigh__ND</t>
  </si>
  <si>
    <t>Burleigh</t>
  </si>
  <si>
    <t>Cass__ND</t>
  </si>
  <si>
    <t>Cavalier__ND</t>
  </si>
  <si>
    <t>Cavalier</t>
  </si>
  <si>
    <t>Dickey__ND</t>
  </si>
  <si>
    <t>Dickey</t>
  </si>
  <si>
    <t>Divide__ND</t>
  </si>
  <si>
    <t>Divide</t>
  </si>
  <si>
    <t>Dunn__ND</t>
  </si>
  <si>
    <t>Dunn</t>
  </si>
  <si>
    <t>Eddy__ND</t>
  </si>
  <si>
    <t>Eddy</t>
  </si>
  <si>
    <t>Emmons__ND</t>
  </si>
  <si>
    <t>Emmons</t>
  </si>
  <si>
    <t>Foster__ND</t>
  </si>
  <si>
    <t>Foster</t>
  </si>
  <si>
    <t>Golden_Valley__ND</t>
  </si>
  <si>
    <t>Grand_Forks__ND</t>
  </si>
  <si>
    <t>Grand Forks</t>
  </si>
  <si>
    <t>Grant__ND</t>
  </si>
  <si>
    <t>Griggs__ND</t>
  </si>
  <si>
    <t>Griggs</t>
  </si>
  <si>
    <t>Hettinger__ND</t>
  </si>
  <si>
    <t>Hettinger</t>
  </si>
  <si>
    <t>Kidder__ND</t>
  </si>
  <si>
    <t>Kidder</t>
  </si>
  <si>
    <t>LaMoure__ND</t>
  </si>
  <si>
    <t>LaMoure</t>
  </si>
  <si>
    <t>Logan__ND</t>
  </si>
  <si>
    <t>McHenry__ND</t>
  </si>
  <si>
    <t>McIntosh__ND</t>
  </si>
  <si>
    <t>McKenzie__ND</t>
  </si>
  <si>
    <t>McKenzie</t>
  </si>
  <si>
    <t>McLean__ND</t>
  </si>
  <si>
    <t>Mercer__ND</t>
  </si>
  <si>
    <t>Morton__ND</t>
  </si>
  <si>
    <t>Mountrail__ND</t>
  </si>
  <si>
    <t>Mountrail</t>
  </si>
  <si>
    <t>Nelson__ND</t>
  </si>
  <si>
    <t>Oliver__ND</t>
  </si>
  <si>
    <t>Oliver</t>
  </si>
  <si>
    <t>Pembina__ND</t>
  </si>
  <si>
    <t>Pembina</t>
  </si>
  <si>
    <t>Pierce__ND</t>
  </si>
  <si>
    <t>Ramsey__ND</t>
  </si>
  <si>
    <t>Ransom__ND</t>
  </si>
  <si>
    <t>Ransom</t>
  </si>
  <si>
    <t>Renville__ND</t>
  </si>
  <si>
    <t>Richland__ND</t>
  </si>
  <si>
    <t>Rolette__ND</t>
  </si>
  <si>
    <t>Rolette</t>
  </si>
  <si>
    <t>Sargent__ND</t>
  </si>
  <si>
    <t>Sargent</t>
  </si>
  <si>
    <t>Sheridan__ND</t>
  </si>
  <si>
    <t>Sioux__ND</t>
  </si>
  <si>
    <t>Slope__ND</t>
  </si>
  <si>
    <t>Slope</t>
  </si>
  <si>
    <t>Stark__ND</t>
  </si>
  <si>
    <t>Steele__ND</t>
  </si>
  <si>
    <t>Stutsman__ND</t>
  </si>
  <si>
    <t>Stutsman</t>
  </si>
  <si>
    <t>Towner__ND</t>
  </si>
  <si>
    <t>Towner</t>
  </si>
  <si>
    <t>Traill__ND</t>
  </si>
  <si>
    <t>Traill</t>
  </si>
  <si>
    <t>Walsh__ND</t>
  </si>
  <si>
    <t>Walsh</t>
  </si>
  <si>
    <t>Ward__ND</t>
  </si>
  <si>
    <t>Ward</t>
  </si>
  <si>
    <t>Wells__ND</t>
  </si>
  <si>
    <t>Williams__ND</t>
  </si>
  <si>
    <t>Williams</t>
  </si>
  <si>
    <t>Adams__NE</t>
  </si>
  <si>
    <t>NEBRASKA</t>
  </si>
  <si>
    <t>Antelope__NE</t>
  </si>
  <si>
    <t>Antelope</t>
  </si>
  <si>
    <t>Arthur__NE</t>
  </si>
  <si>
    <t>Arthur</t>
  </si>
  <si>
    <t>Banner__NE</t>
  </si>
  <si>
    <t>Banner</t>
  </si>
  <si>
    <t>Blaine__NE</t>
  </si>
  <si>
    <t>Boone__NE</t>
  </si>
  <si>
    <t>Box_Butte__NE</t>
  </si>
  <si>
    <t>Box Butte</t>
  </si>
  <si>
    <t>Boyd__NE</t>
  </si>
  <si>
    <t>Brown__NE</t>
  </si>
  <si>
    <t>Buffalo__NE</t>
  </si>
  <si>
    <t>Buffalo</t>
  </si>
  <si>
    <t>Burt__NE</t>
  </si>
  <si>
    <t>Burt</t>
  </si>
  <si>
    <t>Butler__NE</t>
  </si>
  <si>
    <t>Cass__NE</t>
  </si>
  <si>
    <t>Cedar__NE</t>
  </si>
  <si>
    <t>Chase__NE</t>
  </si>
  <si>
    <t>Cherry__NE</t>
  </si>
  <si>
    <t>Cherry</t>
  </si>
  <si>
    <t>Cheyenne__NE</t>
  </si>
  <si>
    <t>Clay__NE</t>
  </si>
  <si>
    <t>Colfax__NE</t>
  </si>
  <si>
    <t>Colfax</t>
  </si>
  <si>
    <t>Cuming__NE</t>
  </si>
  <si>
    <t>Cuming</t>
  </si>
  <si>
    <t>Custer__NE</t>
  </si>
  <si>
    <t>Dakota__NE</t>
  </si>
  <si>
    <t>Dawes__NE</t>
  </si>
  <si>
    <t>Dawes</t>
  </si>
  <si>
    <t>Dawson__NE</t>
  </si>
  <si>
    <t>Deuel__NE</t>
  </si>
  <si>
    <t>Deuel</t>
  </si>
  <si>
    <t>Dixon__NE</t>
  </si>
  <si>
    <t>Dixon</t>
  </si>
  <si>
    <t>Dodge__NE</t>
  </si>
  <si>
    <t>Douglas__NE</t>
  </si>
  <si>
    <t>Dundy__NE</t>
  </si>
  <si>
    <t>Dundy</t>
  </si>
  <si>
    <t>Fillmore__NE</t>
  </si>
  <si>
    <t>Franklin__NE</t>
  </si>
  <si>
    <t>Frontier__NE</t>
  </si>
  <si>
    <t>Frontier</t>
  </si>
  <si>
    <t>Furnas__NE</t>
  </si>
  <si>
    <t>Furnas</t>
  </si>
  <si>
    <t>Gage__NE</t>
  </si>
  <si>
    <t>Gage</t>
  </si>
  <si>
    <t>Garden__NE</t>
  </si>
  <si>
    <t>Garden</t>
  </si>
  <si>
    <t>Garfield__NE</t>
  </si>
  <si>
    <t>Gosper__NE</t>
  </si>
  <si>
    <t>Gosper</t>
  </si>
  <si>
    <t>Grant__NE</t>
  </si>
  <si>
    <t>Greeley__NE</t>
  </si>
  <si>
    <t>Hall__NE</t>
  </si>
  <si>
    <t>Hamilton__NE</t>
  </si>
  <si>
    <t>Harlan__NE</t>
  </si>
  <si>
    <t>Hayes__NE</t>
  </si>
  <si>
    <t>Hayes</t>
  </si>
  <si>
    <t>Hitchcock__NE</t>
  </si>
  <si>
    <t>Hitchcock</t>
  </si>
  <si>
    <t>Holt__NE</t>
  </si>
  <si>
    <t>Hooker__NE</t>
  </si>
  <si>
    <t>Hooker</t>
  </si>
  <si>
    <t>Howard__NE</t>
  </si>
  <si>
    <t>Jefferson__NE</t>
  </si>
  <si>
    <t>Johnson__NE</t>
  </si>
  <si>
    <t>Kearney__NE</t>
  </si>
  <si>
    <t>Kearney</t>
  </si>
  <si>
    <t>Keith__NE</t>
  </si>
  <si>
    <t>Keith</t>
  </si>
  <si>
    <t>Keya_Paha__NE</t>
  </si>
  <si>
    <t>Keya Paha</t>
  </si>
  <si>
    <t>Kimball__NE</t>
  </si>
  <si>
    <t>Kimball</t>
  </si>
  <si>
    <t>Knox__NE</t>
  </si>
  <si>
    <t>Lancaster__NE</t>
  </si>
  <si>
    <t>Lancaster</t>
  </si>
  <si>
    <t>Northeast, Lincoln (optional: Theresa Street, Papillion)</t>
  </si>
  <si>
    <t>Lincoln__NE</t>
  </si>
  <si>
    <t>Logan__NE</t>
  </si>
  <si>
    <t>Loup__NE</t>
  </si>
  <si>
    <t>Loup</t>
  </si>
  <si>
    <t>Madison__NE</t>
  </si>
  <si>
    <t>McPherson__NE</t>
  </si>
  <si>
    <t>Merrick__NE</t>
  </si>
  <si>
    <t>Merrick</t>
  </si>
  <si>
    <t>Morrill__NE</t>
  </si>
  <si>
    <t>Morrill</t>
  </si>
  <si>
    <t>Nance__NE</t>
  </si>
  <si>
    <t>Nance</t>
  </si>
  <si>
    <t>Nemaha__NE</t>
  </si>
  <si>
    <t>Nuckolls__NE</t>
  </si>
  <si>
    <t>Nuckolls</t>
  </si>
  <si>
    <t>Otoe__NE</t>
  </si>
  <si>
    <t>Otoe</t>
  </si>
  <si>
    <t>Pawnee__NE</t>
  </si>
  <si>
    <t>Perkins__NE</t>
  </si>
  <si>
    <t>Perkins</t>
  </si>
  <si>
    <t>Phelps__NE</t>
  </si>
  <si>
    <t>Pierce__NE</t>
  </si>
  <si>
    <t>Platte__NE</t>
  </si>
  <si>
    <t>Polk__NE</t>
  </si>
  <si>
    <t>Red_Willow__NE</t>
  </si>
  <si>
    <t>Red Willow</t>
  </si>
  <si>
    <t>Richardson__NE</t>
  </si>
  <si>
    <t>Richardson</t>
  </si>
  <si>
    <t>Rock__NE</t>
  </si>
  <si>
    <t>Saline__NE</t>
  </si>
  <si>
    <t>Sarpy__NE</t>
  </si>
  <si>
    <t>Sarpy</t>
  </si>
  <si>
    <t>Saunders__NE</t>
  </si>
  <si>
    <t>Saunders</t>
  </si>
  <si>
    <t>Scotts_Bluff__NE</t>
  </si>
  <si>
    <t>Scotts Bluff</t>
  </si>
  <si>
    <t>Seward__NE</t>
  </si>
  <si>
    <t>Sheridan__NE</t>
  </si>
  <si>
    <t>Sherman__NE</t>
  </si>
  <si>
    <t>Sioux__NE</t>
  </si>
  <si>
    <t>Stanton__NE</t>
  </si>
  <si>
    <t>Thayer__NE</t>
  </si>
  <si>
    <t>Thayer</t>
  </si>
  <si>
    <t>Thomas__NE</t>
  </si>
  <si>
    <t>Thurston__NE</t>
  </si>
  <si>
    <t>Thurston</t>
  </si>
  <si>
    <t>Valley__NE</t>
  </si>
  <si>
    <t>Washington__NE</t>
  </si>
  <si>
    <t>Wayne__NE</t>
  </si>
  <si>
    <t>Webster__NE</t>
  </si>
  <si>
    <t>Wheeler__NE</t>
  </si>
  <si>
    <t>York__NE</t>
  </si>
  <si>
    <t>Belknap__NH</t>
  </si>
  <si>
    <t>NEW HAMPSHIRE</t>
  </si>
  <si>
    <t>Belknap</t>
  </si>
  <si>
    <t>Carroll__NH</t>
  </si>
  <si>
    <t>Cheshire__NH</t>
  </si>
  <si>
    <t>Cheshire</t>
  </si>
  <si>
    <t>Coos__NH</t>
  </si>
  <si>
    <t>Coos</t>
  </si>
  <si>
    <t>Grafton__NH</t>
  </si>
  <si>
    <t>Grafton</t>
  </si>
  <si>
    <t>Hillsborough__NH</t>
  </si>
  <si>
    <t>Merrimack__NH</t>
  </si>
  <si>
    <t>Merrimack</t>
  </si>
  <si>
    <t>Rockingham__NH</t>
  </si>
  <si>
    <t>Strafford__NH</t>
  </si>
  <si>
    <t>Strafford</t>
  </si>
  <si>
    <t>Dover</t>
  </si>
  <si>
    <t>Sullivan__NH</t>
  </si>
  <si>
    <t>Atlantic__NJ</t>
  </si>
  <si>
    <t>NEW JERSEY</t>
  </si>
  <si>
    <t>Atlantic</t>
  </si>
  <si>
    <t>Bergen__NJ</t>
  </si>
  <si>
    <t>Bergen</t>
  </si>
  <si>
    <t>Newark</t>
  </si>
  <si>
    <t>Burlington__NJ</t>
  </si>
  <si>
    <t>Burlington</t>
  </si>
  <si>
    <t>Camden__NJ</t>
  </si>
  <si>
    <t>Cape_May__NJ</t>
  </si>
  <si>
    <t>Cape May</t>
  </si>
  <si>
    <t>Cumberland__NJ</t>
  </si>
  <si>
    <t>Bridgeton</t>
  </si>
  <si>
    <t>Essex__NJ</t>
  </si>
  <si>
    <t>Gloucester__NJ</t>
  </si>
  <si>
    <t>Gloucester</t>
  </si>
  <si>
    <t>Hudson__NJ</t>
  </si>
  <si>
    <t>Hudson</t>
  </si>
  <si>
    <t>Hunterdon__NJ</t>
  </si>
  <si>
    <t>Hunterdon</t>
  </si>
  <si>
    <t>Mercer__NJ</t>
  </si>
  <si>
    <t>Middlesex__NJ</t>
  </si>
  <si>
    <t>Monmouth__NJ</t>
  </si>
  <si>
    <t>Monmouth</t>
  </si>
  <si>
    <t>Oakhurst (optional: Belmar/Union Beach)</t>
  </si>
  <si>
    <t>Morris__NJ</t>
  </si>
  <si>
    <t>Ocean__NJ</t>
  </si>
  <si>
    <t>Ocean</t>
  </si>
  <si>
    <t>Passaic__NJ</t>
  </si>
  <si>
    <t>Passaic</t>
  </si>
  <si>
    <t>Salem__NJ</t>
  </si>
  <si>
    <t>Salem</t>
  </si>
  <si>
    <t>Somerset__NJ</t>
  </si>
  <si>
    <t>Bridgewater</t>
  </si>
  <si>
    <t>Sussex__NJ</t>
  </si>
  <si>
    <t>Union__NJ</t>
  </si>
  <si>
    <t>Warren__NJ</t>
  </si>
  <si>
    <t>Bernalillo__NM</t>
  </si>
  <si>
    <t>NEW MEXICO</t>
  </si>
  <si>
    <t>Bernalillo</t>
  </si>
  <si>
    <t>Catron__NM</t>
  </si>
  <si>
    <t>Catron</t>
  </si>
  <si>
    <t>Chaves__NM</t>
  </si>
  <si>
    <t>Chaves</t>
  </si>
  <si>
    <t>Cibola__NM</t>
  </si>
  <si>
    <t>Cibola</t>
  </si>
  <si>
    <t>Colfax__NM</t>
  </si>
  <si>
    <t>Curry__NM</t>
  </si>
  <si>
    <t>Curry</t>
  </si>
  <si>
    <t>De_Baca__NM</t>
  </si>
  <si>
    <t>De Baca</t>
  </si>
  <si>
    <t>Dona_Ana__NM</t>
  </si>
  <si>
    <t>Dona Ana</t>
  </si>
  <si>
    <t>Eddy__NM</t>
  </si>
  <si>
    <t>Grant__NM</t>
  </si>
  <si>
    <t>Guadalupe__NM</t>
  </si>
  <si>
    <t>Guadalupe</t>
  </si>
  <si>
    <t>Harding__NM</t>
  </si>
  <si>
    <t>Harding</t>
  </si>
  <si>
    <t>Hidalgo__NM</t>
  </si>
  <si>
    <t>Hidalgo</t>
  </si>
  <si>
    <t>Lea__NM</t>
  </si>
  <si>
    <t>Lea</t>
  </si>
  <si>
    <t>Lincoln__NM</t>
  </si>
  <si>
    <t>Los_Alamos__NM</t>
  </si>
  <si>
    <t>Los Alamos</t>
  </si>
  <si>
    <t>Luna__NM</t>
  </si>
  <si>
    <t>Luna</t>
  </si>
  <si>
    <t>McKinley__NM</t>
  </si>
  <si>
    <t>McKinley</t>
  </si>
  <si>
    <t>Mora__NM</t>
  </si>
  <si>
    <t>Mora</t>
  </si>
  <si>
    <t>Otero__NM</t>
  </si>
  <si>
    <t>Quay__NM</t>
  </si>
  <si>
    <t>Quay</t>
  </si>
  <si>
    <t>Rio_Arriba__NM</t>
  </si>
  <si>
    <t>Rio Arriba</t>
  </si>
  <si>
    <t>Roosevelt__NM</t>
  </si>
  <si>
    <t>San_Juan__NM</t>
  </si>
  <si>
    <t>San_Miguel__NM</t>
  </si>
  <si>
    <t>Sandoval__NM</t>
  </si>
  <si>
    <t>Sandoval</t>
  </si>
  <si>
    <t>Santa_Fe__NM</t>
  </si>
  <si>
    <t>Santa Fe</t>
  </si>
  <si>
    <t>Sierra__NM</t>
  </si>
  <si>
    <t>Socorro__NM</t>
  </si>
  <si>
    <t>Socorro</t>
  </si>
  <si>
    <t>Taos__NM</t>
  </si>
  <si>
    <t>Taos</t>
  </si>
  <si>
    <t>Torrance__NM</t>
  </si>
  <si>
    <t>Torrance</t>
  </si>
  <si>
    <t>Union__NM</t>
  </si>
  <si>
    <t>Valencia__NM</t>
  </si>
  <si>
    <t>Valencia</t>
  </si>
  <si>
    <t>Carson_City__NV</t>
  </si>
  <si>
    <t>NEVADA</t>
  </si>
  <si>
    <t>Carson City</t>
  </si>
  <si>
    <t>Churchill__NV</t>
  </si>
  <si>
    <t>Churchill</t>
  </si>
  <si>
    <t>Clark__NV</t>
  </si>
  <si>
    <t>Las Vegas</t>
  </si>
  <si>
    <t>Douglas__NV</t>
  </si>
  <si>
    <t>Elko__NV</t>
  </si>
  <si>
    <t>Elko</t>
  </si>
  <si>
    <t>Esmeralda__NV</t>
  </si>
  <si>
    <t>Esmeralda</t>
  </si>
  <si>
    <t>Eureka__NV</t>
  </si>
  <si>
    <t>Eureka</t>
  </si>
  <si>
    <t>Humboldt__NV</t>
  </si>
  <si>
    <t>Lander__NV</t>
  </si>
  <si>
    <t>Lander</t>
  </si>
  <si>
    <t>Lincoln__NV</t>
  </si>
  <si>
    <t>Lyon__NV</t>
  </si>
  <si>
    <t>Mineral__NV</t>
  </si>
  <si>
    <t>Nye__NV</t>
  </si>
  <si>
    <t>Nye</t>
  </si>
  <si>
    <t>Pershing__NV</t>
  </si>
  <si>
    <t>Pershing</t>
  </si>
  <si>
    <t>Storey__NV</t>
  </si>
  <si>
    <t>Storey</t>
  </si>
  <si>
    <t>Washoe__NV</t>
  </si>
  <si>
    <t>Washoe</t>
  </si>
  <si>
    <t>White_Pine__NV</t>
  </si>
  <si>
    <t>White Pine</t>
  </si>
  <si>
    <t>Albany__NY</t>
  </si>
  <si>
    <t>NEW YORK</t>
  </si>
  <si>
    <t>Albany</t>
  </si>
  <si>
    <t>Allegany__NY</t>
  </si>
  <si>
    <t>Bronx__NY</t>
  </si>
  <si>
    <t>Bronx</t>
  </si>
  <si>
    <t>Broome__NY</t>
  </si>
  <si>
    <t>Broome</t>
  </si>
  <si>
    <t>Cattaraugus__NY</t>
  </si>
  <si>
    <t>Cattaraugus</t>
  </si>
  <si>
    <t>Cayuga__NY</t>
  </si>
  <si>
    <t>Cayuga</t>
  </si>
  <si>
    <t>Chautauqua__NY</t>
  </si>
  <si>
    <t>Chemung__NY</t>
  </si>
  <si>
    <t>Chemung</t>
  </si>
  <si>
    <t>Chenango__NY</t>
  </si>
  <si>
    <t>Chenango</t>
  </si>
  <si>
    <t>Clinton__NY</t>
  </si>
  <si>
    <t>Columbia__NY</t>
  </si>
  <si>
    <t>Cortland__NY</t>
  </si>
  <si>
    <t>Cortland</t>
  </si>
  <si>
    <t>Delaware__NY</t>
  </si>
  <si>
    <t>Dutchess__NY</t>
  </si>
  <si>
    <t>Dutchess</t>
  </si>
  <si>
    <t>Erie__NY</t>
  </si>
  <si>
    <t>Erie</t>
  </si>
  <si>
    <t>Essex__NY</t>
  </si>
  <si>
    <t>Franklin__NY</t>
  </si>
  <si>
    <t>Fulton__NY</t>
  </si>
  <si>
    <t>Genesee__NY</t>
  </si>
  <si>
    <t>Greene__NY</t>
  </si>
  <si>
    <t>Hamilton__NY</t>
  </si>
  <si>
    <t>Herkimer__NY</t>
  </si>
  <si>
    <t>Herkimer</t>
  </si>
  <si>
    <t>Jefferson__NY</t>
  </si>
  <si>
    <t>Kings__NY</t>
  </si>
  <si>
    <t>Lewis__NY</t>
  </si>
  <si>
    <t>Livingston__NY</t>
  </si>
  <si>
    <t>Madison__NY</t>
  </si>
  <si>
    <t>Monroe__NY</t>
  </si>
  <si>
    <t>Montgomery__NY</t>
  </si>
  <si>
    <t>Nassau__NY</t>
  </si>
  <si>
    <t>New_York__NY</t>
  </si>
  <si>
    <t>New York</t>
  </si>
  <si>
    <t>Niagara__NY</t>
  </si>
  <si>
    <t>Niagara</t>
  </si>
  <si>
    <t>Oneida__NY</t>
  </si>
  <si>
    <t>Onondaga__NY</t>
  </si>
  <si>
    <t>Onondaga</t>
  </si>
  <si>
    <t>Ontario__NY</t>
  </si>
  <si>
    <t>Orange__NY</t>
  </si>
  <si>
    <t>Orleans__NY</t>
  </si>
  <si>
    <t>Oswego__NY</t>
  </si>
  <si>
    <t>Oswego</t>
  </si>
  <si>
    <t>Otsego__NY</t>
  </si>
  <si>
    <t>Putnam__NY</t>
  </si>
  <si>
    <t>Queens__NY</t>
  </si>
  <si>
    <t>Queens</t>
  </si>
  <si>
    <t>Rensselaer__NY</t>
  </si>
  <si>
    <t>Rensselaer</t>
  </si>
  <si>
    <t>Richmond__NY</t>
  </si>
  <si>
    <t>Rockland__NY</t>
  </si>
  <si>
    <t>Rockland</t>
  </si>
  <si>
    <t>Saratoga__NY</t>
  </si>
  <si>
    <t>Saratoga</t>
  </si>
  <si>
    <t>Schenectady__NY</t>
  </si>
  <si>
    <t>Schenectady</t>
  </si>
  <si>
    <t>Schoharie__NY</t>
  </si>
  <si>
    <t>Schoharie</t>
  </si>
  <si>
    <t>Schuyler__NY</t>
  </si>
  <si>
    <t>Seneca__NY</t>
  </si>
  <si>
    <t>Seneca</t>
  </si>
  <si>
    <t>St__Lawrence__NY</t>
  </si>
  <si>
    <t>St  Lawrence</t>
  </si>
  <si>
    <t>Steuben__NY</t>
  </si>
  <si>
    <t>Suffolk__NY</t>
  </si>
  <si>
    <t>Sullivan__NY</t>
  </si>
  <si>
    <t>Tioga__NY</t>
  </si>
  <si>
    <t>Tioga</t>
  </si>
  <si>
    <t>Tompkins__NY</t>
  </si>
  <si>
    <t>Tompkins</t>
  </si>
  <si>
    <t>Ithaca</t>
  </si>
  <si>
    <t>Ulster__NY</t>
  </si>
  <si>
    <t>Ulster</t>
  </si>
  <si>
    <t>Warren__NY</t>
  </si>
  <si>
    <t>Washington__NY</t>
  </si>
  <si>
    <t>Wayne__NY</t>
  </si>
  <si>
    <t>Westchester__NY</t>
  </si>
  <si>
    <t>Westchester</t>
  </si>
  <si>
    <t>Wyoming__NY</t>
  </si>
  <si>
    <t>Wyoming</t>
  </si>
  <si>
    <t>Yates__NY</t>
  </si>
  <si>
    <t>Yates</t>
  </si>
  <si>
    <t>Adams__OH</t>
  </si>
  <si>
    <t>OHIO</t>
  </si>
  <si>
    <t>Allen__OH</t>
  </si>
  <si>
    <t>Ashland__OH</t>
  </si>
  <si>
    <t>Ashland</t>
  </si>
  <si>
    <t>Ashtabula__OH</t>
  </si>
  <si>
    <t>Ashtabula</t>
  </si>
  <si>
    <t>Athens__OH</t>
  </si>
  <si>
    <t>Athens</t>
  </si>
  <si>
    <t>Auglaize__OH</t>
  </si>
  <si>
    <t>Auglaize</t>
  </si>
  <si>
    <t>Belmont__OH</t>
  </si>
  <si>
    <t>Belmont</t>
  </si>
  <si>
    <t>Brown__OH</t>
  </si>
  <si>
    <t>Butler__OH</t>
  </si>
  <si>
    <t>Carroll__OH</t>
  </si>
  <si>
    <t>Champaign__OH</t>
  </si>
  <si>
    <t>Clark__OH</t>
  </si>
  <si>
    <t>Clermont__OH</t>
  </si>
  <si>
    <t>Clermont</t>
  </si>
  <si>
    <t>Clinton__OH</t>
  </si>
  <si>
    <t>Columbiana__OH</t>
  </si>
  <si>
    <t>Columbiana</t>
  </si>
  <si>
    <t>Coshocton__OH</t>
  </si>
  <si>
    <t>Coshocton</t>
  </si>
  <si>
    <t>Crawford__OH</t>
  </si>
  <si>
    <t>Cuyahoga__OH</t>
  </si>
  <si>
    <t>Cuyahoga</t>
  </si>
  <si>
    <t>Darke__OH</t>
  </si>
  <si>
    <t>Darke</t>
  </si>
  <si>
    <t>Defiance__OH</t>
  </si>
  <si>
    <t>Defiance</t>
  </si>
  <si>
    <t>Delaware__OH</t>
  </si>
  <si>
    <t>Erie__OH</t>
  </si>
  <si>
    <t>Fairfield__OH</t>
  </si>
  <si>
    <t>Fairfield</t>
  </si>
  <si>
    <t>Fayette__OH</t>
  </si>
  <si>
    <t>Franklin__OH</t>
  </si>
  <si>
    <t>Fulton__OH</t>
  </si>
  <si>
    <t>Gallia__OH</t>
  </si>
  <si>
    <t>Gallia</t>
  </si>
  <si>
    <t>Geauga__OH</t>
  </si>
  <si>
    <t>Geauga</t>
  </si>
  <si>
    <t>Greene__OH</t>
  </si>
  <si>
    <t>Guernsey__OH</t>
  </si>
  <si>
    <t>Guernsey</t>
  </si>
  <si>
    <t>Hamilton__OH</t>
  </si>
  <si>
    <t>Hancock__OH</t>
  </si>
  <si>
    <t>Hardin__OH</t>
  </si>
  <si>
    <t>Harrison__OH</t>
  </si>
  <si>
    <t>Henry__OH</t>
  </si>
  <si>
    <t>Highland__OH</t>
  </si>
  <si>
    <t>Highland</t>
  </si>
  <si>
    <t>Hocking__OH</t>
  </si>
  <si>
    <t>Hocking</t>
  </si>
  <si>
    <t>Holmes__OH</t>
  </si>
  <si>
    <t>Huron__OH</t>
  </si>
  <si>
    <t>Jackson__OH</t>
  </si>
  <si>
    <t>Jefferson__OH</t>
  </si>
  <si>
    <t>Knox__OH</t>
  </si>
  <si>
    <t>Lake__OH</t>
  </si>
  <si>
    <t>Lawrence__OH</t>
  </si>
  <si>
    <t>Licking__OH</t>
  </si>
  <si>
    <t>Licking</t>
  </si>
  <si>
    <t>Logan__OH</t>
  </si>
  <si>
    <t>Lorain__OH</t>
  </si>
  <si>
    <t>Lorain</t>
  </si>
  <si>
    <t>Lucas__OH</t>
  </si>
  <si>
    <t>Madison__OH</t>
  </si>
  <si>
    <t>Mahoning__OH</t>
  </si>
  <si>
    <t>Mahoning</t>
  </si>
  <si>
    <t>Youngstown</t>
  </si>
  <si>
    <t>Marion__OH</t>
  </si>
  <si>
    <t>Medina__OH</t>
  </si>
  <si>
    <t>Medina</t>
  </si>
  <si>
    <t>Meigs__OH</t>
  </si>
  <si>
    <t>Meigs</t>
  </si>
  <si>
    <t>Mercer__OH</t>
  </si>
  <si>
    <t>Miami__OH</t>
  </si>
  <si>
    <t>Monroe__OH</t>
  </si>
  <si>
    <t>Montgomery__OH</t>
  </si>
  <si>
    <t>Morgan__OH</t>
  </si>
  <si>
    <t>Morrow__OH</t>
  </si>
  <si>
    <t>Morrow</t>
  </si>
  <si>
    <t>Muskingum__OH</t>
  </si>
  <si>
    <t>Muskingum</t>
  </si>
  <si>
    <t>Noble__OH</t>
  </si>
  <si>
    <t>Ottawa__OH</t>
  </si>
  <si>
    <t>Paulding__OH</t>
  </si>
  <si>
    <t>Perry__OH</t>
  </si>
  <si>
    <t>Pickaway__OH</t>
  </si>
  <si>
    <t>Pickaway</t>
  </si>
  <si>
    <t>Pike__OH</t>
  </si>
  <si>
    <t>Portage__OH</t>
  </si>
  <si>
    <t>Portage</t>
  </si>
  <si>
    <t>Preble__OH</t>
  </si>
  <si>
    <t>Preble</t>
  </si>
  <si>
    <t>Putnam__OH</t>
  </si>
  <si>
    <t>Richland__OH</t>
  </si>
  <si>
    <t>Ross__OH</t>
  </si>
  <si>
    <t>Ross</t>
  </si>
  <si>
    <t>Sandusky__OH</t>
  </si>
  <si>
    <t>Sandusky</t>
  </si>
  <si>
    <t>Scioto__OH</t>
  </si>
  <si>
    <t>Scioto</t>
  </si>
  <si>
    <t>Seneca__OH</t>
  </si>
  <si>
    <t>Shelby__OH</t>
  </si>
  <si>
    <t>Stark__OH</t>
  </si>
  <si>
    <t>Summit__OH</t>
  </si>
  <si>
    <t>Akron</t>
  </si>
  <si>
    <t>Trumbull__OH</t>
  </si>
  <si>
    <t>Trumbull</t>
  </si>
  <si>
    <t>Tuscarawas__OH</t>
  </si>
  <si>
    <t>Tuscarawas</t>
  </si>
  <si>
    <t>Union__OH</t>
  </si>
  <si>
    <t>Van_Wert__OH</t>
  </si>
  <si>
    <t>Van Wert</t>
  </si>
  <si>
    <t>Vinton__OH</t>
  </si>
  <si>
    <t>Vinton</t>
  </si>
  <si>
    <t>Warren__OH</t>
  </si>
  <si>
    <t>Washington__OH</t>
  </si>
  <si>
    <t>Wayne__OH</t>
  </si>
  <si>
    <t>Williams__OH</t>
  </si>
  <si>
    <t>Wood__OH</t>
  </si>
  <si>
    <t>Wood</t>
  </si>
  <si>
    <t>Wyandot__OH</t>
  </si>
  <si>
    <t>Wyandot</t>
  </si>
  <si>
    <t>Adair__OK</t>
  </si>
  <si>
    <t>OKLAHOMA</t>
  </si>
  <si>
    <t>Alfalfa__OK</t>
  </si>
  <si>
    <t>Alfalfa</t>
  </si>
  <si>
    <t>Atoka__OK</t>
  </si>
  <si>
    <t>Atoka</t>
  </si>
  <si>
    <t>Beaver__OK</t>
  </si>
  <si>
    <t>Beaver</t>
  </si>
  <si>
    <t>Beckham__OK</t>
  </si>
  <si>
    <t>Beckham</t>
  </si>
  <si>
    <t>Blaine__OK</t>
  </si>
  <si>
    <t>Bryan__OK</t>
  </si>
  <si>
    <t>Caddo__OK</t>
  </si>
  <si>
    <t>Canadian__OK</t>
  </si>
  <si>
    <t>Canadian</t>
  </si>
  <si>
    <t>Carter__OK</t>
  </si>
  <si>
    <t>Cherokee__OK</t>
  </si>
  <si>
    <t>Choctaw__OK</t>
  </si>
  <si>
    <t>Cimarron__OK</t>
  </si>
  <si>
    <t>Cimarron</t>
  </si>
  <si>
    <t>Cleveland__OK</t>
  </si>
  <si>
    <t>Coal__OK</t>
  </si>
  <si>
    <t>Coal</t>
  </si>
  <si>
    <t>Comanche__OK</t>
  </si>
  <si>
    <t>Cotton__OK</t>
  </si>
  <si>
    <t>Cotton</t>
  </si>
  <si>
    <t>Craig__OK</t>
  </si>
  <si>
    <t>Craig</t>
  </si>
  <si>
    <t>Creek__OK</t>
  </si>
  <si>
    <t>Creek</t>
  </si>
  <si>
    <t>Custer__OK</t>
  </si>
  <si>
    <t>Delaware__OK</t>
  </si>
  <si>
    <t>Dewey__OK</t>
  </si>
  <si>
    <t>Dewey</t>
  </si>
  <si>
    <t>Ellis__OK</t>
  </si>
  <si>
    <t>Garfield__OK</t>
  </si>
  <si>
    <t>Garvin__OK</t>
  </si>
  <si>
    <t>Garvin</t>
  </si>
  <si>
    <t>Grady__OK</t>
  </si>
  <si>
    <t>Grant__OK</t>
  </si>
  <si>
    <t>Greer__OK</t>
  </si>
  <si>
    <t>Greer</t>
  </si>
  <si>
    <t>Harmon__OK</t>
  </si>
  <si>
    <t>Harmon</t>
  </si>
  <si>
    <t>Harper__OK</t>
  </si>
  <si>
    <t>Haskell__OK</t>
  </si>
  <si>
    <t>Hughes__OK</t>
  </si>
  <si>
    <t>Hughes</t>
  </si>
  <si>
    <t>Jackson__OK</t>
  </si>
  <si>
    <t>Jefferson__OK</t>
  </si>
  <si>
    <t>Johnston__OK</t>
  </si>
  <si>
    <t>Kay__OK</t>
  </si>
  <si>
    <t>Kay</t>
  </si>
  <si>
    <t>Kingfisher__OK</t>
  </si>
  <si>
    <t>Kingfisher</t>
  </si>
  <si>
    <t>Kiowa__OK</t>
  </si>
  <si>
    <t>Latimer__OK</t>
  </si>
  <si>
    <t>Latimer</t>
  </si>
  <si>
    <t>Le_Flore__OK</t>
  </si>
  <si>
    <t>Le Flore</t>
  </si>
  <si>
    <t>Lincoln__OK</t>
  </si>
  <si>
    <t>Logan__OK</t>
  </si>
  <si>
    <t>Love__OK</t>
  </si>
  <si>
    <t>Love</t>
  </si>
  <si>
    <t>Major__OK</t>
  </si>
  <si>
    <t>Major</t>
  </si>
  <si>
    <t>Marshall__OK</t>
  </si>
  <si>
    <t>Mayes__OK</t>
  </si>
  <si>
    <t>Mayes</t>
  </si>
  <si>
    <t>McClain__OK</t>
  </si>
  <si>
    <t>McClain</t>
  </si>
  <si>
    <t>McCurtain__OK</t>
  </si>
  <si>
    <t>McCurtain</t>
  </si>
  <si>
    <t>McIntosh__OK</t>
  </si>
  <si>
    <t>Murray__OK</t>
  </si>
  <si>
    <t>Muskogee__OK</t>
  </si>
  <si>
    <t>Muskogee</t>
  </si>
  <si>
    <t>Noble__OK</t>
  </si>
  <si>
    <t>Nowata__OK</t>
  </si>
  <si>
    <t>Nowata</t>
  </si>
  <si>
    <t>Okfuskee__OK</t>
  </si>
  <si>
    <t>Okfuskee</t>
  </si>
  <si>
    <t>Oklahoma__OK</t>
  </si>
  <si>
    <t>Oklahoma</t>
  </si>
  <si>
    <t>Okmulgee__OK</t>
  </si>
  <si>
    <t>Okmulgee</t>
  </si>
  <si>
    <t>Osage__OK</t>
  </si>
  <si>
    <t>Ottawa__OK</t>
  </si>
  <si>
    <t>Pawnee__OK</t>
  </si>
  <si>
    <t>Payne__OK</t>
  </si>
  <si>
    <t>Payne</t>
  </si>
  <si>
    <t>Pittsburg__OK</t>
  </si>
  <si>
    <t>Pittsburg</t>
  </si>
  <si>
    <t>Pontotoc__OK</t>
  </si>
  <si>
    <t>Pottawatomie__OK</t>
  </si>
  <si>
    <t>Pushmataha__OK</t>
  </si>
  <si>
    <t>Pushmataha</t>
  </si>
  <si>
    <t>Roger_Mills__OK</t>
  </si>
  <si>
    <t>Roger Mills</t>
  </si>
  <si>
    <t>Rogers__OK</t>
  </si>
  <si>
    <t>Rogers</t>
  </si>
  <si>
    <t>Seminole__OK</t>
  </si>
  <si>
    <t>Sequoyah__OK</t>
  </si>
  <si>
    <t>Sequoyah</t>
  </si>
  <si>
    <t>Stephens__OK</t>
  </si>
  <si>
    <t>Texas__OK</t>
  </si>
  <si>
    <t>Tillman__OK</t>
  </si>
  <si>
    <t>Tillman</t>
  </si>
  <si>
    <t>Tulsa__OK</t>
  </si>
  <si>
    <t>Tulsa</t>
  </si>
  <si>
    <t>Wagoner__OK</t>
  </si>
  <si>
    <t>Wagoner</t>
  </si>
  <si>
    <t>Washington__OK</t>
  </si>
  <si>
    <t>Washita__OK</t>
  </si>
  <si>
    <t>Washita</t>
  </si>
  <si>
    <t>Woods__OK</t>
  </si>
  <si>
    <t>Woods</t>
  </si>
  <si>
    <t>Woodward__OK</t>
  </si>
  <si>
    <t>Woodward</t>
  </si>
  <si>
    <t>Baker__OR</t>
  </si>
  <si>
    <t>OREGON</t>
  </si>
  <si>
    <t>Benton__OR</t>
  </si>
  <si>
    <t>Clackamas__OR</t>
  </si>
  <si>
    <t>Clackamas</t>
  </si>
  <si>
    <t>Clatsop__OR</t>
  </si>
  <si>
    <t>Clatsop</t>
  </si>
  <si>
    <t>Columbia__OR</t>
  </si>
  <si>
    <t>Coos__OR</t>
  </si>
  <si>
    <t>Crook__OR</t>
  </si>
  <si>
    <t>Crook</t>
  </si>
  <si>
    <t>Curry__OR</t>
  </si>
  <si>
    <t>Deschutes__OR</t>
  </si>
  <si>
    <t>Deschutes</t>
  </si>
  <si>
    <t>Douglas__OR</t>
  </si>
  <si>
    <t>Gilliam__OR</t>
  </si>
  <si>
    <t>Gilliam</t>
  </si>
  <si>
    <t>Grant__OR</t>
  </si>
  <si>
    <t>Harney__OR</t>
  </si>
  <si>
    <t>Harney</t>
  </si>
  <si>
    <t>Hood_River__OR</t>
  </si>
  <si>
    <t>Hood River</t>
  </si>
  <si>
    <t>Jackson__OR</t>
  </si>
  <si>
    <t>Jefferson__OR</t>
  </si>
  <si>
    <t>Josephine__OR</t>
  </si>
  <si>
    <t>Josephine</t>
  </si>
  <si>
    <t>Klamath__OR</t>
  </si>
  <si>
    <t>Klamath</t>
  </si>
  <si>
    <t>Lake__OR</t>
  </si>
  <si>
    <t>Lane__OR</t>
  </si>
  <si>
    <t>Lincoln__OR</t>
  </si>
  <si>
    <t>Linn__OR</t>
  </si>
  <si>
    <t>Malheur__OR</t>
  </si>
  <si>
    <t>Malheur</t>
  </si>
  <si>
    <t>Marion__OR</t>
  </si>
  <si>
    <t>Morrow__OR</t>
  </si>
  <si>
    <t>Multnomah__OR</t>
  </si>
  <si>
    <t>Multnomah</t>
  </si>
  <si>
    <t>Polk__OR</t>
  </si>
  <si>
    <t>Sherman__OR</t>
  </si>
  <si>
    <t>Tillamook__OR</t>
  </si>
  <si>
    <t>Tillamook</t>
  </si>
  <si>
    <t>Umatilla__OR</t>
  </si>
  <si>
    <t>Umatilla</t>
  </si>
  <si>
    <t>Union__OR</t>
  </si>
  <si>
    <t>Wallowa__OR</t>
  </si>
  <si>
    <t>Wallowa</t>
  </si>
  <si>
    <t>Wasco__OR</t>
  </si>
  <si>
    <t>Wasco</t>
  </si>
  <si>
    <t>Washington__OR</t>
  </si>
  <si>
    <t>Wheeler__OR</t>
  </si>
  <si>
    <t>Yamhill__OR</t>
  </si>
  <si>
    <t>Yamhill</t>
  </si>
  <si>
    <t>Adams__PA</t>
  </si>
  <si>
    <t>PENNSYLVANIA</t>
  </si>
  <si>
    <t>Allegheny__PA</t>
  </si>
  <si>
    <t>Allegheny</t>
  </si>
  <si>
    <t>Armstrong__PA</t>
  </si>
  <si>
    <t>Armstrong</t>
  </si>
  <si>
    <t>Beaver__PA</t>
  </si>
  <si>
    <t>Bedford__PA</t>
  </si>
  <si>
    <t>Bedford</t>
  </si>
  <si>
    <t>Berks__PA</t>
  </si>
  <si>
    <t>Berks</t>
  </si>
  <si>
    <t>Blair__PA</t>
  </si>
  <si>
    <t>Blair</t>
  </si>
  <si>
    <t>Bradford__PA</t>
  </si>
  <si>
    <t>Bucks__PA</t>
  </si>
  <si>
    <t>Bucks</t>
  </si>
  <si>
    <t>Butler__PA</t>
  </si>
  <si>
    <t>Cambria__PA</t>
  </si>
  <si>
    <t>Cambria</t>
  </si>
  <si>
    <t>Cameron__PA</t>
  </si>
  <si>
    <t>Carbon__PA</t>
  </si>
  <si>
    <t>Centre__PA</t>
  </si>
  <si>
    <t>Centre</t>
  </si>
  <si>
    <t>Chester__PA</t>
  </si>
  <si>
    <t>Chester</t>
  </si>
  <si>
    <t>Clarion__PA</t>
  </si>
  <si>
    <t>Clarion</t>
  </si>
  <si>
    <t>Clearfield__PA</t>
  </si>
  <si>
    <t>Clearfield</t>
  </si>
  <si>
    <t>Clinton__PA</t>
  </si>
  <si>
    <t>Columbia__PA</t>
  </si>
  <si>
    <t>Crawford__PA</t>
  </si>
  <si>
    <t>Cumberland__PA</t>
  </si>
  <si>
    <t>Dauphin__PA</t>
  </si>
  <si>
    <t>Dauphin</t>
  </si>
  <si>
    <t>Harrisburg</t>
  </si>
  <si>
    <t>Delaware__PA</t>
  </si>
  <si>
    <t>Elk__PA</t>
  </si>
  <si>
    <t>Erie__PA</t>
  </si>
  <si>
    <t>Fayette__PA</t>
  </si>
  <si>
    <t>Forest__PA</t>
  </si>
  <si>
    <t>Forest</t>
  </si>
  <si>
    <t>Franklin__PA</t>
  </si>
  <si>
    <t>Fulton__PA</t>
  </si>
  <si>
    <t>Greene__PA</t>
  </si>
  <si>
    <t>Huntingdon__PA</t>
  </si>
  <si>
    <t>Huntingdon</t>
  </si>
  <si>
    <t>Indiana__PA</t>
  </si>
  <si>
    <t>Indiana</t>
  </si>
  <si>
    <t>Jefferson__PA</t>
  </si>
  <si>
    <t>Juniata__PA</t>
  </si>
  <si>
    <t>Juniata</t>
  </si>
  <si>
    <t>Lackawanna__PA</t>
  </si>
  <si>
    <t>Lackawanna</t>
  </si>
  <si>
    <t>Lancaster__PA</t>
  </si>
  <si>
    <t>Lawrence__PA</t>
  </si>
  <si>
    <t>Lebanon__PA</t>
  </si>
  <si>
    <t>Lebanon</t>
  </si>
  <si>
    <t>Lehigh__PA</t>
  </si>
  <si>
    <t>Lehigh</t>
  </si>
  <si>
    <t>Luzerne__PA</t>
  </si>
  <si>
    <t>Luzerne</t>
  </si>
  <si>
    <t>Lycoming__PA</t>
  </si>
  <si>
    <t>Lycoming</t>
  </si>
  <si>
    <t>McKean__PA</t>
  </si>
  <si>
    <t>McKean</t>
  </si>
  <si>
    <t>Mercer__PA</t>
  </si>
  <si>
    <t>Mifflin__PA</t>
  </si>
  <si>
    <t>Mifflin</t>
  </si>
  <si>
    <t>Monroe__PA</t>
  </si>
  <si>
    <t>Montgomery__PA</t>
  </si>
  <si>
    <t>Montour__PA</t>
  </si>
  <si>
    <t>Montour</t>
  </si>
  <si>
    <t>Northampton__PA</t>
  </si>
  <si>
    <t>Northumberland__PA</t>
  </si>
  <si>
    <t>Northumberland</t>
  </si>
  <si>
    <t>Perry__PA</t>
  </si>
  <si>
    <t>Philadelphia__PA</t>
  </si>
  <si>
    <t>Philadelphia</t>
  </si>
  <si>
    <t>Pike__PA</t>
  </si>
  <si>
    <t>Potter__PA</t>
  </si>
  <si>
    <t>Potter</t>
  </si>
  <si>
    <t>Schuylkill__PA</t>
  </si>
  <si>
    <t>Schuylkill</t>
  </si>
  <si>
    <t>Snyder__PA</t>
  </si>
  <si>
    <t>Snyder</t>
  </si>
  <si>
    <t>Somerset__PA</t>
  </si>
  <si>
    <t>Sullivan__PA</t>
  </si>
  <si>
    <t>Susquehanna__PA</t>
  </si>
  <si>
    <t>Susquehanna</t>
  </si>
  <si>
    <t>Tioga__PA</t>
  </si>
  <si>
    <t>Union__PA</t>
  </si>
  <si>
    <t>Venango__PA</t>
  </si>
  <si>
    <t>Venango</t>
  </si>
  <si>
    <t>Warren__PA</t>
  </si>
  <si>
    <t>Washington__PA</t>
  </si>
  <si>
    <t>Wayne__PA</t>
  </si>
  <si>
    <t>Westmoreland__PA</t>
  </si>
  <si>
    <t>Westmoreland</t>
  </si>
  <si>
    <t>Wyoming__PA</t>
  </si>
  <si>
    <t>York__PA</t>
  </si>
  <si>
    <t>Bristol__RI</t>
  </si>
  <si>
    <t>RHODE ISLAND</t>
  </si>
  <si>
    <t>Kent__RI</t>
  </si>
  <si>
    <t>Newport__RI</t>
  </si>
  <si>
    <t>Newport</t>
  </si>
  <si>
    <t>Providence__RI</t>
  </si>
  <si>
    <t>Providence</t>
  </si>
  <si>
    <t>Washington__RI</t>
  </si>
  <si>
    <t>Abbeville__SC</t>
  </si>
  <si>
    <t>SOUTH CAROLINA</t>
  </si>
  <si>
    <t>Abbeville</t>
  </si>
  <si>
    <t>Aiken__SC</t>
  </si>
  <si>
    <t>Aiken</t>
  </si>
  <si>
    <t>Allendale__SC</t>
  </si>
  <si>
    <t>Allendale</t>
  </si>
  <si>
    <t>Anderson__SC</t>
  </si>
  <si>
    <t>Bamberg__SC</t>
  </si>
  <si>
    <t>Bamberg</t>
  </si>
  <si>
    <t>Barnwell__SC</t>
  </si>
  <si>
    <t>Barnwell</t>
  </si>
  <si>
    <t>Beaufort__SC</t>
  </si>
  <si>
    <t>Berkeley__SC</t>
  </si>
  <si>
    <t>Berkeley</t>
  </si>
  <si>
    <t>Calhoun__SC</t>
  </si>
  <si>
    <t>Charleston__SC</t>
  </si>
  <si>
    <t>Charleston</t>
  </si>
  <si>
    <t>Cherokee__SC</t>
  </si>
  <si>
    <t>Chester__SC</t>
  </si>
  <si>
    <t>Chesterfield__SC</t>
  </si>
  <si>
    <t>Chesterfield</t>
  </si>
  <si>
    <t>Clarendon__SC</t>
  </si>
  <si>
    <t>Clarendon</t>
  </si>
  <si>
    <t>Colleton__SC</t>
  </si>
  <si>
    <t>Colleton</t>
  </si>
  <si>
    <t>Darlington__SC</t>
  </si>
  <si>
    <t>Darlington</t>
  </si>
  <si>
    <t>Dillon__SC</t>
  </si>
  <si>
    <t>Dillon</t>
  </si>
  <si>
    <t>Dorchester__SC</t>
  </si>
  <si>
    <t>Edgefield__SC</t>
  </si>
  <si>
    <t>Edgefield</t>
  </si>
  <si>
    <t>Fairfield__SC</t>
  </si>
  <si>
    <t>Florence__SC</t>
  </si>
  <si>
    <t>Florence</t>
  </si>
  <si>
    <t>Georgetown__SC</t>
  </si>
  <si>
    <t>Georgetown</t>
  </si>
  <si>
    <t>Greenville__SC</t>
  </si>
  <si>
    <t>Greenville</t>
  </si>
  <si>
    <t>Greenwood__SC</t>
  </si>
  <si>
    <t>Hampton__SC</t>
  </si>
  <si>
    <t>Hampton</t>
  </si>
  <si>
    <t>Horry__SC</t>
  </si>
  <si>
    <t>Horry</t>
  </si>
  <si>
    <t>Jasper__SC</t>
  </si>
  <si>
    <t>Kershaw__SC</t>
  </si>
  <si>
    <t>Kershaw</t>
  </si>
  <si>
    <t>Lancaster__SC</t>
  </si>
  <si>
    <t>Laurens__SC</t>
  </si>
  <si>
    <t>Lee__SC</t>
  </si>
  <si>
    <t>Lexington__SC</t>
  </si>
  <si>
    <t>Lexington</t>
  </si>
  <si>
    <t>Marion__SC</t>
  </si>
  <si>
    <t>Marlboro__SC</t>
  </si>
  <si>
    <t>Marlboro</t>
  </si>
  <si>
    <t>McCormick__SC</t>
  </si>
  <si>
    <t>McCormick</t>
  </si>
  <si>
    <t>Newberry__SC</t>
  </si>
  <si>
    <t>Newberry</t>
  </si>
  <si>
    <t>Oconee__SC</t>
  </si>
  <si>
    <t>Orangeburg__SC</t>
  </si>
  <si>
    <t>Orangeburg</t>
  </si>
  <si>
    <t>Pickens__SC</t>
  </si>
  <si>
    <t>Richland__SC</t>
  </si>
  <si>
    <t>Saluda__SC</t>
  </si>
  <si>
    <t>Saluda</t>
  </si>
  <si>
    <t>Spartanburg__SC</t>
  </si>
  <si>
    <t>Spartanburg</t>
  </si>
  <si>
    <t>Sumter__SC</t>
  </si>
  <si>
    <t>Union__SC</t>
  </si>
  <si>
    <t>Williamsburg__SC</t>
  </si>
  <si>
    <t>Williamsburg</t>
  </si>
  <si>
    <t>York__SC</t>
  </si>
  <si>
    <t>Aurora__SD</t>
  </si>
  <si>
    <t>SOUTH DAKOTA</t>
  </si>
  <si>
    <t>Aurora</t>
  </si>
  <si>
    <t>Beadle__SD</t>
  </si>
  <si>
    <t>Beadle</t>
  </si>
  <si>
    <t>Bennett__SD</t>
  </si>
  <si>
    <t>Bennett</t>
  </si>
  <si>
    <t>Bon_Homme__SD</t>
  </si>
  <si>
    <t>Bon Homme</t>
  </si>
  <si>
    <t>Brookings__SD</t>
  </si>
  <si>
    <t>Brookings</t>
  </si>
  <si>
    <t>Brown__SD</t>
  </si>
  <si>
    <t>Brule__SD</t>
  </si>
  <si>
    <t>Brule</t>
  </si>
  <si>
    <t>Buffalo__SD</t>
  </si>
  <si>
    <t>Butte__SD</t>
  </si>
  <si>
    <t>Campbell__SD</t>
  </si>
  <si>
    <t>Charles_Mix__SD</t>
  </si>
  <si>
    <t>Charles Mix</t>
  </si>
  <si>
    <t>Clark__SD</t>
  </si>
  <si>
    <t>Clay__SD</t>
  </si>
  <si>
    <t>Codington__SD</t>
  </si>
  <si>
    <t>Codington</t>
  </si>
  <si>
    <t>Corson__SD</t>
  </si>
  <si>
    <t>Corson</t>
  </si>
  <si>
    <t>Custer__SD</t>
  </si>
  <si>
    <t>Davison__SD</t>
  </si>
  <si>
    <t>Davison</t>
  </si>
  <si>
    <t>Day__SD</t>
  </si>
  <si>
    <t>Day</t>
  </si>
  <si>
    <t>Deuel__SD</t>
  </si>
  <si>
    <t>Dewey__SD</t>
  </si>
  <si>
    <t>Douglas__SD</t>
  </si>
  <si>
    <t>Edmunds__SD</t>
  </si>
  <si>
    <t>Edmunds</t>
  </si>
  <si>
    <t>Fall_River__SD</t>
  </si>
  <si>
    <t>Fall River</t>
  </si>
  <si>
    <t>Faulk__SD</t>
  </si>
  <si>
    <t>Faulk</t>
  </si>
  <si>
    <t>Grant__SD</t>
  </si>
  <si>
    <t>Gregory__SD</t>
  </si>
  <si>
    <t>Gregory</t>
  </si>
  <si>
    <t>Haakon__SD</t>
  </si>
  <si>
    <t>Haakon</t>
  </si>
  <si>
    <t>Hamlin__SD</t>
  </si>
  <si>
    <t>Hamlin</t>
  </si>
  <si>
    <t>Hand__SD</t>
  </si>
  <si>
    <t>Hand</t>
  </si>
  <si>
    <t>Hanson__SD</t>
  </si>
  <si>
    <t>Hanson</t>
  </si>
  <si>
    <t>Harding__SD</t>
  </si>
  <si>
    <t>Hughes__SD</t>
  </si>
  <si>
    <t>Hutchinson__SD</t>
  </si>
  <si>
    <t>Hutchinson</t>
  </si>
  <si>
    <t>Hyde__SD</t>
  </si>
  <si>
    <t>Jackson__SD</t>
  </si>
  <si>
    <t>Jerauld__SD</t>
  </si>
  <si>
    <t>Jerauld</t>
  </si>
  <si>
    <t>Jones__SD</t>
  </si>
  <si>
    <t>Kingsbury__SD</t>
  </si>
  <si>
    <t>Kingsbury</t>
  </si>
  <si>
    <t>Lake__SD</t>
  </si>
  <si>
    <t>Lawrence__SD</t>
  </si>
  <si>
    <t>Lincoln__SD</t>
  </si>
  <si>
    <t>Lyman__SD</t>
  </si>
  <si>
    <t>Lyman</t>
  </si>
  <si>
    <t>Marshall__SD</t>
  </si>
  <si>
    <t>McCook__SD</t>
  </si>
  <si>
    <t>McCook</t>
  </si>
  <si>
    <t>McPherson__SD</t>
  </si>
  <si>
    <t>Meade__SD</t>
  </si>
  <si>
    <t>Mellette__SD</t>
  </si>
  <si>
    <t>Mellette</t>
  </si>
  <si>
    <t>Miner__SD</t>
  </si>
  <si>
    <t>Miner</t>
  </si>
  <si>
    <t>Minnehaha__SD</t>
  </si>
  <si>
    <t>Minnehaha</t>
  </si>
  <si>
    <t>Moody__SD</t>
  </si>
  <si>
    <t>Moody</t>
  </si>
  <si>
    <t>Oglala_Lakota__SD</t>
  </si>
  <si>
    <t>Oglala_Lakota</t>
  </si>
  <si>
    <t>Pennington__SD</t>
  </si>
  <si>
    <t>Perkins__SD</t>
  </si>
  <si>
    <t>Potter__SD</t>
  </si>
  <si>
    <t>Roberts__SD</t>
  </si>
  <si>
    <t>Roberts</t>
  </si>
  <si>
    <t>Sanborn__SD</t>
  </si>
  <si>
    <t>Sanborn</t>
  </si>
  <si>
    <t>Spink__SD</t>
  </si>
  <si>
    <t>Spink</t>
  </si>
  <si>
    <t>Stanley__SD</t>
  </si>
  <si>
    <t>Stanley</t>
  </si>
  <si>
    <t>Sully__SD</t>
  </si>
  <si>
    <t>Sully</t>
  </si>
  <si>
    <t>Todd__SD</t>
  </si>
  <si>
    <t>Tripp__SD</t>
  </si>
  <si>
    <t>Tripp</t>
  </si>
  <si>
    <t>Turner__SD</t>
  </si>
  <si>
    <t>Union__SD</t>
  </si>
  <si>
    <t>Walworth__SD</t>
  </si>
  <si>
    <t>Walworth</t>
  </si>
  <si>
    <t>Yankton__SD</t>
  </si>
  <si>
    <t>Yankton</t>
  </si>
  <si>
    <t>Ziebach__SD</t>
  </si>
  <si>
    <t>Ziebach</t>
  </si>
  <si>
    <t>Anderson__TN</t>
  </si>
  <si>
    <t>TENNESSEE</t>
  </si>
  <si>
    <t>Bedford__TN</t>
  </si>
  <si>
    <t>Benton__TN</t>
  </si>
  <si>
    <t>Bledsoe__TN</t>
  </si>
  <si>
    <t>Bledsoe</t>
  </si>
  <si>
    <t>Blount__TN</t>
  </si>
  <si>
    <t>Bradley__TN</t>
  </si>
  <si>
    <t>Campbell__TN</t>
  </si>
  <si>
    <t>Cannon__TN</t>
  </si>
  <si>
    <t>Cannon</t>
  </si>
  <si>
    <t>Carroll__TN</t>
  </si>
  <si>
    <t>Carter__TN</t>
  </si>
  <si>
    <t>Cheatham__TN</t>
  </si>
  <si>
    <t>Cheatham</t>
  </si>
  <si>
    <t>Chester__TN</t>
  </si>
  <si>
    <t>Claiborne__TN</t>
  </si>
  <si>
    <t>Clay__TN</t>
  </si>
  <si>
    <t>Cocke__TN</t>
  </si>
  <si>
    <t>Cocke</t>
  </si>
  <si>
    <t>Coffee__TN</t>
  </si>
  <si>
    <t>Crockett__TN</t>
  </si>
  <si>
    <t>Crockett</t>
  </si>
  <si>
    <t>Cumberland__TN</t>
  </si>
  <si>
    <t>Davidson__TN</t>
  </si>
  <si>
    <t>Decatur__TN</t>
  </si>
  <si>
    <t>DeKalb__TN</t>
  </si>
  <si>
    <t>Dickson__TN</t>
  </si>
  <si>
    <t>Dickson</t>
  </si>
  <si>
    <t>Dyer__TN</t>
  </si>
  <si>
    <t>Dyer</t>
  </si>
  <si>
    <t>Fayette__TN</t>
  </si>
  <si>
    <t>Fentress__TN</t>
  </si>
  <si>
    <t>Fentress</t>
  </si>
  <si>
    <t>Franklin__TN</t>
  </si>
  <si>
    <t>Gibson__TN</t>
  </si>
  <si>
    <t>Giles__TN</t>
  </si>
  <si>
    <t>Giles</t>
  </si>
  <si>
    <t>Grainger__TN</t>
  </si>
  <si>
    <t>Grainger</t>
  </si>
  <si>
    <t>Greene__TN</t>
  </si>
  <si>
    <t>Grundy__TN</t>
  </si>
  <si>
    <t>Hamblen__TN</t>
  </si>
  <si>
    <t>Hamblen</t>
  </si>
  <si>
    <t>Hamilton__TN</t>
  </si>
  <si>
    <t>Chattanooga</t>
  </si>
  <si>
    <t>Hancock__TN</t>
  </si>
  <si>
    <t>Hardeman__TN</t>
  </si>
  <si>
    <t>Hardeman</t>
  </si>
  <si>
    <t>Hardin__TN</t>
  </si>
  <si>
    <t>Hawkins__TN</t>
  </si>
  <si>
    <t>Hawkins</t>
  </si>
  <si>
    <t>Haywood__TN</t>
  </si>
  <si>
    <t>Henderson__TN</t>
  </si>
  <si>
    <t>Henry__TN</t>
  </si>
  <si>
    <t>Hickman__TN</t>
  </si>
  <si>
    <t>Houston__TN</t>
  </si>
  <si>
    <t>Humphreys__TN</t>
  </si>
  <si>
    <t>Jackson__TN</t>
  </si>
  <si>
    <t>Jefferson__TN</t>
  </si>
  <si>
    <t>Johnson__TN</t>
  </si>
  <si>
    <t>Knox__TN</t>
  </si>
  <si>
    <t>Lake__TN</t>
  </si>
  <si>
    <t>Lauderdale__TN</t>
  </si>
  <si>
    <t>Lawrence__TN</t>
  </si>
  <si>
    <t>Lewis__TN</t>
  </si>
  <si>
    <t>Lincoln__TN</t>
  </si>
  <si>
    <t>Loudon__TN</t>
  </si>
  <si>
    <t>Loudon</t>
  </si>
  <si>
    <t>Macon__TN</t>
  </si>
  <si>
    <t>Madison__TN</t>
  </si>
  <si>
    <t>Marion__TN</t>
  </si>
  <si>
    <t>Marshall__TN</t>
  </si>
  <si>
    <t>Maury__TN</t>
  </si>
  <si>
    <t>Maury</t>
  </si>
  <si>
    <t>McMinn__TN</t>
  </si>
  <si>
    <t>McMinn</t>
  </si>
  <si>
    <t>McNairy__TN</t>
  </si>
  <si>
    <t>McNairy</t>
  </si>
  <si>
    <t>Meigs__TN</t>
  </si>
  <si>
    <t>Monroe__TN</t>
  </si>
  <si>
    <t>Montgomery__TN</t>
  </si>
  <si>
    <t>Moore__TN</t>
  </si>
  <si>
    <t>Morgan__TN</t>
  </si>
  <si>
    <t>Obion__TN</t>
  </si>
  <si>
    <t>Obion</t>
  </si>
  <si>
    <t>Overton__TN</t>
  </si>
  <si>
    <t>Overton</t>
  </si>
  <si>
    <t>Perry__TN</t>
  </si>
  <si>
    <t>Pickett__TN</t>
  </si>
  <si>
    <t>Pickett</t>
  </si>
  <si>
    <t>Polk__TN</t>
  </si>
  <si>
    <t>Putnam__TN</t>
  </si>
  <si>
    <t>Rhea__TN</t>
  </si>
  <si>
    <t>Rhea</t>
  </si>
  <si>
    <t>Roane__TN</t>
  </si>
  <si>
    <t>Roane</t>
  </si>
  <si>
    <t>Robertson__TN</t>
  </si>
  <si>
    <t>Rutherford__TN</t>
  </si>
  <si>
    <t>Scott__TN</t>
  </si>
  <si>
    <t>Sequatchie__TN</t>
  </si>
  <si>
    <t>Sequatchie</t>
  </si>
  <si>
    <t>Sevier__TN</t>
  </si>
  <si>
    <t>Shelby__TN</t>
  </si>
  <si>
    <t>Memphis</t>
  </si>
  <si>
    <t>Smith__TN</t>
  </si>
  <si>
    <t>Stewart__TN</t>
  </si>
  <si>
    <t>Sullivan__TN</t>
  </si>
  <si>
    <t>Sumner__TN</t>
  </si>
  <si>
    <t>Tipton__TN</t>
  </si>
  <si>
    <t>Trousdale__TN</t>
  </si>
  <si>
    <t>Trousdale</t>
  </si>
  <si>
    <t>Unicoi__TN</t>
  </si>
  <si>
    <t>Unicoi</t>
  </si>
  <si>
    <t>Union__TN</t>
  </si>
  <si>
    <t>Van_Buren__TN</t>
  </si>
  <si>
    <t>Warren__TN</t>
  </si>
  <si>
    <t>Washington__TN</t>
  </si>
  <si>
    <t>Wayne__TN</t>
  </si>
  <si>
    <t>Weakley__TN</t>
  </si>
  <si>
    <t>Weakley</t>
  </si>
  <si>
    <t>White__TN</t>
  </si>
  <si>
    <t>Williamson__TN</t>
  </si>
  <si>
    <t>Wilson__TN</t>
  </si>
  <si>
    <t>Anderson__TX</t>
  </si>
  <si>
    <t>TEXAS</t>
  </si>
  <si>
    <t>Andrews__TX</t>
  </si>
  <si>
    <t>Andrews</t>
  </si>
  <si>
    <t>Angelina__TX</t>
  </si>
  <si>
    <t>Angelina</t>
  </si>
  <si>
    <t>Aransas__TX</t>
  </si>
  <si>
    <t>Aransas</t>
  </si>
  <si>
    <t>Archer__TX</t>
  </si>
  <si>
    <t>Archer</t>
  </si>
  <si>
    <t>Armstrong__TX</t>
  </si>
  <si>
    <t>Atascosa__TX</t>
  </si>
  <si>
    <t>Atascosa</t>
  </si>
  <si>
    <t>Austin__TX</t>
  </si>
  <si>
    <t>Austin</t>
  </si>
  <si>
    <t>Bailey__TX</t>
  </si>
  <si>
    <t>Bailey</t>
  </si>
  <si>
    <t>Bandera__TX</t>
  </si>
  <si>
    <t>Bandera</t>
  </si>
  <si>
    <t>Bastrop__TX</t>
  </si>
  <si>
    <t>Bastrop</t>
  </si>
  <si>
    <t>Baylor__TX</t>
  </si>
  <si>
    <t>Baylor</t>
  </si>
  <si>
    <t>Bee__TX</t>
  </si>
  <si>
    <t>Bee</t>
  </si>
  <si>
    <t>Bell__TX</t>
  </si>
  <si>
    <t>Bexar__TX</t>
  </si>
  <si>
    <t>Bexar</t>
  </si>
  <si>
    <t>Blanco__TX</t>
  </si>
  <si>
    <t>Blanco</t>
  </si>
  <si>
    <t>Borden__TX</t>
  </si>
  <si>
    <t>Borden</t>
  </si>
  <si>
    <t>Bosque__TX</t>
  </si>
  <si>
    <t>Bosque</t>
  </si>
  <si>
    <t>Bowie__TX</t>
  </si>
  <si>
    <t>Bowie</t>
  </si>
  <si>
    <t>Brazoria__TX</t>
  </si>
  <si>
    <t>Brazoria</t>
  </si>
  <si>
    <t>Brazos__TX</t>
  </si>
  <si>
    <t>Brazos</t>
  </si>
  <si>
    <t>Brewster__TX</t>
  </si>
  <si>
    <t>Brewster</t>
  </si>
  <si>
    <t>Briscoe__TX</t>
  </si>
  <si>
    <t>Briscoe</t>
  </si>
  <si>
    <t>Brooks__TX</t>
  </si>
  <si>
    <t>Brown__TX</t>
  </si>
  <si>
    <t>Burleson__TX</t>
  </si>
  <si>
    <t>Burleson</t>
  </si>
  <si>
    <t>Burnet__TX</t>
  </si>
  <si>
    <t>Burnet</t>
  </si>
  <si>
    <t>Caldwell__TX</t>
  </si>
  <si>
    <t>Calhoun__TX</t>
  </si>
  <si>
    <t>Callahan__TX</t>
  </si>
  <si>
    <t>Callahan</t>
  </si>
  <si>
    <t>Cameron__TX</t>
  </si>
  <si>
    <t>Camp__TX</t>
  </si>
  <si>
    <t>Camp</t>
  </si>
  <si>
    <t>Carson__TX</t>
  </si>
  <si>
    <t>Carson</t>
  </si>
  <si>
    <t>Cass__TX</t>
  </si>
  <si>
    <t>Castro__TX</t>
  </si>
  <si>
    <t>Castro</t>
  </si>
  <si>
    <t>Chambers__TX</t>
  </si>
  <si>
    <t>Cherokee__TX</t>
  </si>
  <si>
    <t>Childress__TX</t>
  </si>
  <si>
    <t>Childress</t>
  </si>
  <si>
    <t>Clay__TX</t>
  </si>
  <si>
    <t>Cochran__TX</t>
  </si>
  <si>
    <t>Cochran</t>
  </si>
  <si>
    <t>Coke__TX</t>
  </si>
  <si>
    <t>Coke</t>
  </si>
  <si>
    <t>Coleman__TX</t>
  </si>
  <si>
    <t>Coleman</t>
  </si>
  <si>
    <t>Collin__TX</t>
  </si>
  <si>
    <t>Collin</t>
  </si>
  <si>
    <t>Garland (optional: Dallas Central)</t>
  </si>
  <si>
    <t>Collingsworth__TX</t>
  </si>
  <si>
    <t>Collingsworth</t>
  </si>
  <si>
    <t>Colorado__TX</t>
  </si>
  <si>
    <t>Colorado</t>
  </si>
  <si>
    <t>Comal__TX</t>
  </si>
  <si>
    <t>Comal</t>
  </si>
  <si>
    <t>Comanche__TX</t>
  </si>
  <si>
    <t>Concho__TX</t>
  </si>
  <si>
    <t>Concho</t>
  </si>
  <si>
    <t>Cooke__TX</t>
  </si>
  <si>
    <t>Cooke</t>
  </si>
  <si>
    <t>Gainesville</t>
  </si>
  <si>
    <t>Coryell__TX</t>
  </si>
  <si>
    <t>Coryell</t>
  </si>
  <si>
    <t>Cottle__TX</t>
  </si>
  <si>
    <t>Cottle</t>
  </si>
  <si>
    <t>Crane__TX</t>
  </si>
  <si>
    <t>Crane</t>
  </si>
  <si>
    <t>Crockett__TX</t>
  </si>
  <si>
    <t>Crosby__TX</t>
  </si>
  <si>
    <t>Crosby</t>
  </si>
  <si>
    <t>Culberson__TX</t>
  </si>
  <si>
    <t>Culberson</t>
  </si>
  <si>
    <t>Dallam__TX</t>
  </si>
  <si>
    <t>Dallam</t>
  </si>
  <si>
    <t>Dallas__TX</t>
  </si>
  <si>
    <t>White Rock Central (optional: Dallas Central/Southside, Dallas/Garland/Sunnyvale)</t>
  </si>
  <si>
    <t>Dawson__TX</t>
  </si>
  <si>
    <t>Deaf_Smith__TX</t>
  </si>
  <si>
    <t>Deaf Smith</t>
  </si>
  <si>
    <t>Delta__TX</t>
  </si>
  <si>
    <t>Denton__TX</t>
  </si>
  <si>
    <t>Denton</t>
  </si>
  <si>
    <t>Dallas Central (optional: Southside, Dallas)</t>
  </si>
  <si>
    <t>DeWitt__TX</t>
  </si>
  <si>
    <t>DeWitt</t>
  </si>
  <si>
    <t>Dickens__TX</t>
  </si>
  <si>
    <t>Dickens</t>
  </si>
  <si>
    <t>Dimmit__TX</t>
  </si>
  <si>
    <t>Dimmit</t>
  </si>
  <si>
    <t>Donley__TX</t>
  </si>
  <si>
    <t>Donley</t>
  </si>
  <si>
    <t>Duval__TX</t>
  </si>
  <si>
    <t>Eastland__TX</t>
  </si>
  <si>
    <t>Eastland</t>
  </si>
  <si>
    <t>Ector__TX</t>
  </si>
  <si>
    <t>Ector</t>
  </si>
  <si>
    <t>Edwards__TX</t>
  </si>
  <si>
    <t>El_Paso__TX</t>
  </si>
  <si>
    <t>Ellis__TX</t>
  </si>
  <si>
    <t>Southside, Dallas</t>
  </si>
  <si>
    <t>Erath__TX</t>
  </si>
  <si>
    <t>Erath</t>
  </si>
  <si>
    <t>Falls__TX</t>
  </si>
  <si>
    <t>Falls</t>
  </si>
  <si>
    <t>Fannin__TX</t>
  </si>
  <si>
    <t>Fayette__TX</t>
  </si>
  <si>
    <t>Fisher__TX</t>
  </si>
  <si>
    <t>Fisher</t>
  </si>
  <si>
    <t>Floyd__TX</t>
  </si>
  <si>
    <t>Foard__TX</t>
  </si>
  <si>
    <t>Foard</t>
  </si>
  <si>
    <t>Fort_Bend__TX</t>
  </si>
  <si>
    <t>Fort Bend</t>
  </si>
  <si>
    <t>Franklin__TX</t>
  </si>
  <si>
    <t>Freestone__TX</t>
  </si>
  <si>
    <t>Freestone</t>
  </si>
  <si>
    <t>Frio__TX</t>
  </si>
  <si>
    <t>Frio</t>
  </si>
  <si>
    <t>Gaines__TX</t>
  </si>
  <si>
    <t>Gaines</t>
  </si>
  <si>
    <t>Galveston__TX</t>
  </si>
  <si>
    <t>Galveston</t>
  </si>
  <si>
    <t>Garza__TX</t>
  </si>
  <si>
    <t>Garza</t>
  </si>
  <si>
    <t>Gillespie__TX</t>
  </si>
  <si>
    <t>Gillespie</t>
  </si>
  <si>
    <t>Glasscock__TX</t>
  </si>
  <si>
    <t>Glasscock</t>
  </si>
  <si>
    <t>Goliad__TX</t>
  </si>
  <si>
    <t>Goliad</t>
  </si>
  <si>
    <t>Gonzales__TX</t>
  </si>
  <si>
    <t>Gonzales</t>
  </si>
  <si>
    <t>Gray__TX</t>
  </si>
  <si>
    <t>Grayson__TX</t>
  </si>
  <si>
    <t>Gregg__TX</t>
  </si>
  <si>
    <t>Gregg</t>
  </si>
  <si>
    <t>Grimes__TX</t>
  </si>
  <si>
    <t>Grimes</t>
  </si>
  <si>
    <t>Guadalupe__TX</t>
  </si>
  <si>
    <t>Hale__TX</t>
  </si>
  <si>
    <t>Hall__TX</t>
  </si>
  <si>
    <t>Hamilton__TX</t>
  </si>
  <si>
    <t>Hansford__TX</t>
  </si>
  <si>
    <t>Hansford</t>
  </si>
  <si>
    <t>Hardeman__TX</t>
  </si>
  <si>
    <t>Hardin__TX</t>
  </si>
  <si>
    <t>Harris__TX</t>
  </si>
  <si>
    <t>Harrison__TX</t>
  </si>
  <si>
    <t>Hartley__TX</t>
  </si>
  <si>
    <t>Hartley</t>
  </si>
  <si>
    <t>Haskell__TX</t>
  </si>
  <si>
    <t>Hays__TX</t>
  </si>
  <si>
    <t>Hays</t>
  </si>
  <si>
    <t>Hemphill__TX</t>
  </si>
  <si>
    <t>Hemphill</t>
  </si>
  <si>
    <t>Henderson__TX</t>
  </si>
  <si>
    <t>Hidalgo__TX</t>
  </si>
  <si>
    <t>Hill__TX</t>
  </si>
  <si>
    <t>Hockley__TX</t>
  </si>
  <si>
    <t>Hockley</t>
  </si>
  <si>
    <t>Hood__TX</t>
  </si>
  <si>
    <t>Hood</t>
  </si>
  <si>
    <t>Hopkins__TX</t>
  </si>
  <si>
    <t>Houston__TX</t>
  </si>
  <si>
    <t>Howard__TX</t>
  </si>
  <si>
    <t>Hudspeth__TX</t>
  </si>
  <si>
    <t>Hudspeth</t>
  </si>
  <si>
    <t>Hunt__TX</t>
  </si>
  <si>
    <t>Hunt</t>
  </si>
  <si>
    <t>Hutchinson__TX</t>
  </si>
  <si>
    <t>Irion__TX</t>
  </si>
  <si>
    <t>Irion</t>
  </si>
  <si>
    <t>Jack__TX</t>
  </si>
  <si>
    <t>Jack</t>
  </si>
  <si>
    <t>Jackson__TX</t>
  </si>
  <si>
    <t>Jasper__TX</t>
  </si>
  <si>
    <t>Jeff_Davis__TX</t>
  </si>
  <si>
    <t>Jefferson__TX</t>
  </si>
  <si>
    <t>Jim_Hogg__TX</t>
  </si>
  <si>
    <t>Jim Hogg</t>
  </si>
  <si>
    <t>Jim_Wells__TX</t>
  </si>
  <si>
    <t>Jim Wells</t>
  </si>
  <si>
    <t>Johnson__TX</t>
  </si>
  <si>
    <t>Jones__TX</t>
  </si>
  <si>
    <t>Karnes__TX</t>
  </si>
  <si>
    <t>Karnes</t>
  </si>
  <si>
    <t>Kaufman__TX</t>
  </si>
  <si>
    <t>Kaufman</t>
  </si>
  <si>
    <t>Sunnyvale (optional: Dallas Central)</t>
  </si>
  <si>
    <t>Kendall__TX</t>
  </si>
  <si>
    <t>Kenedy__TX</t>
  </si>
  <si>
    <t>Kenedy</t>
  </si>
  <si>
    <t>Kent__TX</t>
  </si>
  <si>
    <t>Kerr__TX</t>
  </si>
  <si>
    <t>Kerr</t>
  </si>
  <si>
    <t>Kimble__TX</t>
  </si>
  <si>
    <t>Kimble</t>
  </si>
  <si>
    <t>King__TX</t>
  </si>
  <si>
    <t>King</t>
  </si>
  <si>
    <t>Kinney__TX</t>
  </si>
  <si>
    <t>Kinney</t>
  </si>
  <si>
    <t>Kleberg__TX</t>
  </si>
  <si>
    <t>Kleberg</t>
  </si>
  <si>
    <t>Knox__TX</t>
  </si>
  <si>
    <t>La_Salle__TX</t>
  </si>
  <si>
    <t>Lamar__TX</t>
  </si>
  <si>
    <t>Lamb__TX</t>
  </si>
  <si>
    <t>Lamb</t>
  </si>
  <si>
    <t>Lampasas__TX</t>
  </si>
  <si>
    <t>Lampasas</t>
  </si>
  <si>
    <t>Lavaca__TX</t>
  </si>
  <si>
    <t>Lavaca</t>
  </si>
  <si>
    <t>Lee__TX</t>
  </si>
  <si>
    <t>Leon__TX</t>
  </si>
  <si>
    <t>Liberty__TX</t>
  </si>
  <si>
    <t>Limestone__TX</t>
  </si>
  <si>
    <t>Lipscomb__TX</t>
  </si>
  <si>
    <t>Lipscomb</t>
  </si>
  <si>
    <t>Live_Oak__TX</t>
  </si>
  <si>
    <t>Live Oak</t>
  </si>
  <si>
    <t>Llano__TX</t>
  </si>
  <si>
    <t>Llano</t>
  </si>
  <si>
    <t>Loving__TX</t>
  </si>
  <si>
    <t>Loving</t>
  </si>
  <si>
    <t>Lubbock__TX</t>
  </si>
  <si>
    <t>Lubbock</t>
  </si>
  <si>
    <t>Lynn__TX</t>
  </si>
  <si>
    <t>Lynn</t>
  </si>
  <si>
    <t>Madison__TX</t>
  </si>
  <si>
    <t>Marion__TX</t>
  </si>
  <si>
    <t>Martin__TX</t>
  </si>
  <si>
    <t>Mason__TX</t>
  </si>
  <si>
    <t>Matagorda__TX</t>
  </si>
  <si>
    <t>Matagorda</t>
  </si>
  <si>
    <t>Maverick__TX</t>
  </si>
  <si>
    <t>Maverick</t>
  </si>
  <si>
    <t>McCulloch__TX</t>
  </si>
  <si>
    <t>McCulloch</t>
  </si>
  <si>
    <t>McLennan__TX</t>
  </si>
  <si>
    <t>McLennan</t>
  </si>
  <si>
    <t>McMullen__TX</t>
  </si>
  <si>
    <t>McMullen</t>
  </si>
  <si>
    <t>Medina__TX</t>
  </si>
  <si>
    <t>Menard__TX</t>
  </si>
  <si>
    <t>Midland__TX</t>
  </si>
  <si>
    <t>Milam__TX</t>
  </si>
  <si>
    <t>Milam</t>
  </si>
  <si>
    <t>Mills__TX</t>
  </si>
  <si>
    <t>Mitchell__TX</t>
  </si>
  <si>
    <t>Montague__TX</t>
  </si>
  <si>
    <t>Montague</t>
  </si>
  <si>
    <t>Montgomery__TX</t>
  </si>
  <si>
    <t>Woodlands SJRA WWTF No. 2 (optional: Woodlands SJRA WWTF No. 1)</t>
  </si>
  <si>
    <t>Moore__TX</t>
  </si>
  <si>
    <t>Morris__TX</t>
  </si>
  <si>
    <t>Motley__TX</t>
  </si>
  <si>
    <t>Motley</t>
  </si>
  <si>
    <t>Nacogdoches__TX</t>
  </si>
  <si>
    <t>Nacogdoches</t>
  </si>
  <si>
    <t>Navarro__TX</t>
  </si>
  <si>
    <t>Navarro</t>
  </si>
  <si>
    <t>Newton__TX</t>
  </si>
  <si>
    <t>Nolan__TX</t>
  </si>
  <si>
    <t>Nolan</t>
  </si>
  <si>
    <t>Nueces__TX</t>
  </si>
  <si>
    <t>Nueces</t>
  </si>
  <si>
    <t>Ochiltree__TX</t>
  </si>
  <si>
    <t>Ochiltree</t>
  </si>
  <si>
    <t>Oldham__TX</t>
  </si>
  <si>
    <t>Orange__TX</t>
  </si>
  <si>
    <t>Palo_Pinto__TX</t>
  </si>
  <si>
    <t>Palo Pinto</t>
  </si>
  <si>
    <t>Panola__TX</t>
  </si>
  <si>
    <t>Parker__TX</t>
  </si>
  <si>
    <t>Parker</t>
  </si>
  <si>
    <t>Parmer__TX</t>
  </si>
  <si>
    <t>Parmer</t>
  </si>
  <si>
    <t>Pecos__TX</t>
  </si>
  <si>
    <t>Pecos</t>
  </si>
  <si>
    <t>Polk__TX</t>
  </si>
  <si>
    <t>Potter__TX</t>
  </si>
  <si>
    <t>Hollywood Road, Amarillo (optional: River Road, Amarillo)</t>
  </si>
  <si>
    <t>Presidio__TX</t>
  </si>
  <si>
    <t>Presidio</t>
  </si>
  <si>
    <t>Rains__TX</t>
  </si>
  <si>
    <t>Rains</t>
  </si>
  <si>
    <t>Randall__TX</t>
  </si>
  <si>
    <t>Randall</t>
  </si>
  <si>
    <t>Hollywood Road, Amarillo/River Road, Amarillo</t>
  </si>
  <si>
    <t>Reagan__TX</t>
  </si>
  <si>
    <t>Reagan</t>
  </si>
  <si>
    <t>Real__TX</t>
  </si>
  <si>
    <t>Real</t>
  </si>
  <si>
    <t>Red_River__TX</t>
  </si>
  <si>
    <t>Reeves__TX</t>
  </si>
  <si>
    <t>Reeves</t>
  </si>
  <si>
    <t>Refugio__TX</t>
  </si>
  <si>
    <t>Refugio</t>
  </si>
  <si>
    <t>Roberts__TX</t>
  </si>
  <si>
    <t>Robertson__TX</t>
  </si>
  <si>
    <t>Rockwall__TX</t>
  </si>
  <si>
    <t>Rockwall</t>
  </si>
  <si>
    <t>Dallas Central/Garland</t>
  </si>
  <si>
    <t>Runnels__TX</t>
  </si>
  <si>
    <t>Runnels</t>
  </si>
  <si>
    <t>Rusk__TX</t>
  </si>
  <si>
    <t>Rusk</t>
  </si>
  <si>
    <t>Sabine__TX</t>
  </si>
  <si>
    <t>San_Augustine__TX</t>
  </si>
  <si>
    <t>San Augustine</t>
  </si>
  <si>
    <t>San_Jacinto__TX</t>
  </si>
  <si>
    <t>San Jacinto</t>
  </si>
  <si>
    <t>San_Patricio__TX</t>
  </si>
  <si>
    <t>San Patricio</t>
  </si>
  <si>
    <t>San_Saba__TX</t>
  </si>
  <si>
    <t>San Saba</t>
  </si>
  <si>
    <t>Schleicher__TX</t>
  </si>
  <si>
    <t>Schleicher</t>
  </si>
  <si>
    <t>Scurry__TX</t>
  </si>
  <si>
    <t>Scurry</t>
  </si>
  <si>
    <t>Shackelford__TX</t>
  </si>
  <si>
    <t>Shackelford</t>
  </si>
  <si>
    <t>Shelby__TX</t>
  </si>
  <si>
    <t>Sherman__TX</t>
  </si>
  <si>
    <t>Smith__TX</t>
  </si>
  <si>
    <t>Somervell__TX</t>
  </si>
  <si>
    <t>Somervell</t>
  </si>
  <si>
    <t>Starr__TX</t>
  </si>
  <si>
    <t>Starr</t>
  </si>
  <si>
    <t>Stephens__TX</t>
  </si>
  <si>
    <t>Sterling__TX</t>
  </si>
  <si>
    <t>Sterling</t>
  </si>
  <si>
    <t>Stonewall__TX</t>
  </si>
  <si>
    <t>Stonewall</t>
  </si>
  <si>
    <t>Sutton__TX</t>
  </si>
  <si>
    <t>Sutton</t>
  </si>
  <si>
    <t>Swisher__TX</t>
  </si>
  <si>
    <t>Swisher</t>
  </si>
  <si>
    <t>Tarrant__TX</t>
  </si>
  <si>
    <t>Tarrant</t>
  </si>
  <si>
    <t>Taylor__TX</t>
  </si>
  <si>
    <t>Terrell__TX</t>
  </si>
  <si>
    <t>Terry__TX</t>
  </si>
  <si>
    <t>Terry</t>
  </si>
  <si>
    <t>Throckmorton__TX</t>
  </si>
  <si>
    <t>Throckmorton</t>
  </si>
  <si>
    <t>Titus__TX</t>
  </si>
  <si>
    <t>Titus</t>
  </si>
  <si>
    <t>Tom_Green__TX</t>
  </si>
  <si>
    <t>Tom Green</t>
  </si>
  <si>
    <t>Travis__TX</t>
  </si>
  <si>
    <t>Travis</t>
  </si>
  <si>
    <t>Trinity__TX</t>
  </si>
  <si>
    <t>Tyler__TX</t>
  </si>
  <si>
    <t>Tyler</t>
  </si>
  <si>
    <t>Upshur__TX</t>
  </si>
  <si>
    <t>Upshur</t>
  </si>
  <si>
    <t>Upton__TX</t>
  </si>
  <si>
    <t>Upton</t>
  </si>
  <si>
    <t>Uvalde__TX</t>
  </si>
  <si>
    <t>Uvalde</t>
  </si>
  <si>
    <t>Val_Verde__TX</t>
  </si>
  <si>
    <t>Val Verde</t>
  </si>
  <si>
    <t>Van_Zandt__TX</t>
  </si>
  <si>
    <t>Van Zandt</t>
  </si>
  <si>
    <t>Victoria__TX</t>
  </si>
  <si>
    <t>Victoria</t>
  </si>
  <si>
    <t>Walker__TX</t>
  </si>
  <si>
    <t>Waller__TX</t>
  </si>
  <si>
    <t>Waller</t>
  </si>
  <si>
    <t>Ward__TX</t>
  </si>
  <si>
    <t>Washington__TX</t>
  </si>
  <si>
    <t>Webb__TX</t>
  </si>
  <si>
    <t>Webb</t>
  </si>
  <si>
    <t>Zacate Creek (optional: South, Laredo)</t>
  </si>
  <si>
    <t>Wharton__TX</t>
  </si>
  <si>
    <t>Wharton</t>
  </si>
  <si>
    <t>Wheeler__TX</t>
  </si>
  <si>
    <t>Wichita__TX</t>
  </si>
  <si>
    <t>Wichita Falls</t>
  </si>
  <si>
    <t>Wilbarger__TX</t>
  </si>
  <si>
    <t>Wilbarger</t>
  </si>
  <si>
    <t>Willacy__TX</t>
  </si>
  <si>
    <t>Willacy</t>
  </si>
  <si>
    <t>Williamson__TX</t>
  </si>
  <si>
    <t>Wilson__TX</t>
  </si>
  <si>
    <t>Winkler__TX</t>
  </si>
  <si>
    <t>Winkler</t>
  </si>
  <si>
    <t>Wise__TX</t>
  </si>
  <si>
    <t>Wise</t>
  </si>
  <si>
    <t>Wood__TX</t>
  </si>
  <si>
    <t>Yoakum__TX</t>
  </si>
  <si>
    <t>Yoakum</t>
  </si>
  <si>
    <t>Young__TX</t>
  </si>
  <si>
    <t>Young</t>
  </si>
  <si>
    <t>Zapata__TX</t>
  </si>
  <si>
    <t>Zapata</t>
  </si>
  <si>
    <t>Zavala__TX</t>
  </si>
  <si>
    <t>Zavala</t>
  </si>
  <si>
    <t>Beaver__UT</t>
  </si>
  <si>
    <t>UTAH</t>
  </si>
  <si>
    <t>Box_Elder__UT</t>
  </si>
  <si>
    <t>Box Elder</t>
  </si>
  <si>
    <t>Cache__UT</t>
  </si>
  <si>
    <t>Cache</t>
  </si>
  <si>
    <t>Carbon__UT</t>
  </si>
  <si>
    <t>Daggett__UT</t>
  </si>
  <si>
    <t>Daggett</t>
  </si>
  <si>
    <t>Davis__UT</t>
  </si>
  <si>
    <t>Duchesne__UT</t>
  </si>
  <si>
    <t>Duchesne</t>
  </si>
  <si>
    <t>Emery__UT</t>
  </si>
  <si>
    <t>Emery</t>
  </si>
  <si>
    <t>Garfield__UT</t>
  </si>
  <si>
    <t>Grand__UT</t>
  </si>
  <si>
    <t>Iron__UT</t>
  </si>
  <si>
    <t>Juab__UT</t>
  </si>
  <si>
    <t>Juab</t>
  </si>
  <si>
    <t>Kane__UT</t>
  </si>
  <si>
    <t>Millard__UT</t>
  </si>
  <si>
    <t>Millard</t>
  </si>
  <si>
    <t>Morgan__UT</t>
  </si>
  <si>
    <t>Piute__UT</t>
  </si>
  <si>
    <t>Piute</t>
  </si>
  <si>
    <t>Rich__UT</t>
  </si>
  <si>
    <t>Rich</t>
  </si>
  <si>
    <t>Salt_Lake__UT</t>
  </si>
  <si>
    <t>Salt Lake</t>
  </si>
  <si>
    <t>Central Salt Lake Valley</t>
  </si>
  <si>
    <t>San_Juan__UT</t>
  </si>
  <si>
    <t>Sanpete__UT</t>
  </si>
  <si>
    <t>Sanpete</t>
  </si>
  <si>
    <t>Sevier__UT</t>
  </si>
  <si>
    <t>Summit__UT</t>
  </si>
  <si>
    <t>Tooele__UT</t>
  </si>
  <si>
    <t>Tooele</t>
  </si>
  <si>
    <t>Uintah__UT</t>
  </si>
  <si>
    <t>Uintah</t>
  </si>
  <si>
    <t>Utah__UT</t>
  </si>
  <si>
    <t>Utah</t>
  </si>
  <si>
    <t>Provo</t>
  </si>
  <si>
    <t>Wasatch__UT</t>
  </si>
  <si>
    <t>Wasatch</t>
  </si>
  <si>
    <t>Washington__UT</t>
  </si>
  <si>
    <t>Wayne__UT</t>
  </si>
  <si>
    <t>Weber__UT</t>
  </si>
  <si>
    <t>Weber</t>
  </si>
  <si>
    <t>Accomack__VA</t>
  </si>
  <si>
    <t>VIRGINIA</t>
  </si>
  <si>
    <t>Accomack</t>
  </si>
  <si>
    <t>Albemarle__VA</t>
  </si>
  <si>
    <t>Albemarle</t>
  </si>
  <si>
    <t>Alexandria__VA</t>
  </si>
  <si>
    <t>Alexandria</t>
  </si>
  <si>
    <t>Alleghany__VA</t>
  </si>
  <si>
    <t>Amelia__VA</t>
  </si>
  <si>
    <t>Amelia</t>
  </si>
  <si>
    <t>Amherst__VA</t>
  </si>
  <si>
    <t>Amherst</t>
  </si>
  <si>
    <t>Appomattox__VA</t>
  </si>
  <si>
    <t>Appomattox</t>
  </si>
  <si>
    <t>Arlington__VA</t>
  </si>
  <si>
    <t>Arlington</t>
  </si>
  <si>
    <t>Augusta__VA</t>
  </si>
  <si>
    <t>Augusta</t>
  </si>
  <si>
    <t>Bath__VA</t>
  </si>
  <si>
    <t>Bedford_Co___VA</t>
  </si>
  <si>
    <t xml:space="preserve">Bedford Co </t>
  </si>
  <si>
    <t>Bland__VA</t>
  </si>
  <si>
    <t>Bland</t>
  </si>
  <si>
    <t>Botetourt__VA</t>
  </si>
  <si>
    <t>Botetourt</t>
  </si>
  <si>
    <t>Bristol__VA</t>
  </si>
  <si>
    <t>Brunswick__VA</t>
  </si>
  <si>
    <t>Buchanan__VA</t>
  </si>
  <si>
    <t>Buckingham__VA</t>
  </si>
  <si>
    <t>Buckingham</t>
  </si>
  <si>
    <t>Buena_Vista__VA</t>
  </si>
  <si>
    <t>Campbell__VA</t>
  </si>
  <si>
    <t>Caroline__VA</t>
  </si>
  <si>
    <t>Carroll__VA</t>
  </si>
  <si>
    <t>Charles_City__VA</t>
  </si>
  <si>
    <t>Charles City</t>
  </si>
  <si>
    <t>Charlotte__VA</t>
  </si>
  <si>
    <t>Charlottesville__VA</t>
  </si>
  <si>
    <t>Charlottesville</t>
  </si>
  <si>
    <t>Chesapeake__VA</t>
  </si>
  <si>
    <t>Chesapeake</t>
  </si>
  <si>
    <t>Chesterfield__VA</t>
  </si>
  <si>
    <t>Clarke__VA</t>
  </si>
  <si>
    <t>Colonial_Heights__VA</t>
  </si>
  <si>
    <t>Colonial Heights</t>
  </si>
  <si>
    <t>Covington__VA</t>
  </si>
  <si>
    <t>Craig__VA</t>
  </si>
  <si>
    <t>Culpeper__VA</t>
  </si>
  <si>
    <t>Culpeper</t>
  </si>
  <si>
    <t>Cumberland__VA</t>
  </si>
  <si>
    <t>Danville__VA</t>
  </si>
  <si>
    <t>Danville</t>
  </si>
  <si>
    <t>Dickenson__VA</t>
  </si>
  <si>
    <t>Dickenson</t>
  </si>
  <si>
    <t>Dinwiddie__VA</t>
  </si>
  <si>
    <t>Dinwiddie</t>
  </si>
  <si>
    <t>Emporia__VA</t>
  </si>
  <si>
    <t>Emporia</t>
  </si>
  <si>
    <t>Essex__VA</t>
  </si>
  <si>
    <t>Fairfax__VA</t>
  </si>
  <si>
    <t>Fairfax</t>
  </si>
  <si>
    <t>Fairfax_Co___VA</t>
  </si>
  <si>
    <t xml:space="preserve">Fairfax Co </t>
  </si>
  <si>
    <t>Falls_Church__VA</t>
  </si>
  <si>
    <t>Falls Church</t>
  </si>
  <si>
    <t>Fauquier__VA</t>
  </si>
  <si>
    <t>Fauquier</t>
  </si>
  <si>
    <t>Floyd__VA</t>
  </si>
  <si>
    <t>Fluvanna__VA</t>
  </si>
  <si>
    <t>Fluvanna</t>
  </si>
  <si>
    <t>Franklin__VA</t>
  </si>
  <si>
    <t>Franklin_Co___VA</t>
  </si>
  <si>
    <t xml:space="preserve">Franklin Co </t>
  </si>
  <si>
    <t>Frederick__VA</t>
  </si>
  <si>
    <t>Fredericksburg__VA</t>
  </si>
  <si>
    <t>Fredericksburg</t>
  </si>
  <si>
    <t>Galax__VA</t>
  </si>
  <si>
    <t>Galax</t>
  </si>
  <si>
    <t>Giles__VA</t>
  </si>
  <si>
    <t>Gloucester__VA</t>
  </si>
  <si>
    <t>Goochland__VA</t>
  </si>
  <si>
    <t>Goochland</t>
  </si>
  <si>
    <t>Grayson__VA</t>
  </si>
  <si>
    <t>Greene__VA</t>
  </si>
  <si>
    <t>Greensville__VA</t>
  </si>
  <si>
    <t>Greensville</t>
  </si>
  <si>
    <t>Halifax__VA</t>
  </si>
  <si>
    <t>Hampton__VA</t>
  </si>
  <si>
    <t>Hanover__VA</t>
  </si>
  <si>
    <t>Hanover</t>
  </si>
  <si>
    <t>Harrisonburg__VA</t>
  </si>
  <si>
    <t>Harrisonburg</t>
  </si>
  <si>
    <t>Henrico__VA</t>
  </si>
  <si>
    <t>Henrico</t>
  </si>
  <si>
    <t>Henry__VA</t>
  </si>
  <si>
    <t>Highland__VA</t>
  </si>
  <si>
    <t>Hopewell__VA</t>
  </si>
  <si>
    <t>Hopewell</t>
  </si>
  <si>
    <t>Isle_of_Wight__VA</t>
  </si>
  <si>
    <t>Isle of Wight</t>
  </si>
  <si>
    <t>James_City__VA</t>
  </si>
  <si>
    <t>James City</t>
  </si>
  <si>
    <t>King_and_Queen__VA</t>
  </si>
  <si>
    <t>King and Queen</t>
  </si>
  <si>
    <t>King_George__VA</t>
  </si>
  <si>
    <t>King George</t>
  </si>
  <si>
    <t>King_William__VA</t>
  </si>
  <si>
    <t>King William</t>
  </si>
  <si>
    <t>Lancaster__VA</t>
  </si>
  <si>
    <t>Lee__VA</t>
  </si>
  <si>
    <t>Lexington__VA</t>
  </si>
  <si>
    <t>Loudoun__VA</t>
  </si>
  <si>
    <t>Loudoun</t>
  </si>
  <si>
    <t>Louisa__VA</t>
  </si>
  <si>
    <t>Lunenburg__VA</t>
  </si>
  <si>
    <t>Lunenburg</t>
  </si>
  <si>
    <t>Lynchburg__VA</t>
  </si>
  <si>
    <t>Lynchburg</t>
  </si>
  <si>
    <t>Madison__VA</t>
  </si>
  <si>
    <t>Manassas__VA</t>
  </si>
  <si>
    <t>Manassas</t>
  </si>
  <si>
    <t>Manassas_Park__VA</t>
  </si>
  <si>
    <t>Manassas Park</t>
  </si>
  <si>
    <t>Martinsville__VA</t>
  </si>
  <si>
    <t>Martinsville</t>
  </si>
  <si>
    <t>Mathews__VA</t>
  </si>
  <si>
    <t>Mathews</t>
  </si>
  <si>
    <t>Mecklenburg__VA</t>
  </si>
  <si>
    <t>Middlesex__VA</t>
  </si>
  <si>
    <t>Montgomery__VA</t>
  </si>
  <si>
    <t>Nelson__VA</t>
  </si>
  <si>
    <t>New_Kent__VA</t>
  </si>
  <si>
    <t>New Kent</t>
  </si>
  <si>
    <t>Newport_News__VA</t>
  </si>
  <si>
    <t>Newport News</t>
  </si>
  <si>
    <t>Norfolk__VA</t>
  </si>
  <si>
    <t>Northampton__VA</t>
  </si>
  <si>
    <t>Northumberland__VA</t>
  </si>
  <si>
    <t>Norton__VA</t>
  </si>
  <si>
    <t>Nottoway__VA</t>
  </si>
  <si>
    <t>Nottoway</t>
  </si>
  <si>
    <t>Orange__VA</t>
  </si>
  <si>
    <t>Page__VA</t>
  </si>
  <si>
    <t>Patrick__VA</t>
  </si>
  <si>
    <t>Patrick</t>
  </si>
  <si>
    <t>Petersburg__VA</t>
  </si>
  <si>
    <t>Pittsylvania__VA</t>
  </si>
  <si>
    <t>Pittsylvania</t>
  </si>
  <si>
    <t>Poquoson__VA</t>
  </si>
  <si>
    <t>Poquoson</t>
  </si>
  <si>
    <t>Portsmouth__VA</t>
  </si>
  <si>
    <t>Portsmouth</t>
  </si>
  <si>
    <t>Powhatan__VA</t>
  </si>
  <si>
    <t>Powhatan</t>
  </si>
  <si>
    <t>Prince_Edward__VA</t>
  </si>
  <si>
    <t>Prince Edward</t>
  </si>
  <si>
    <t>Prince_George__VA</t>
  </si>
  <si>
    <t>Prince George</t>
  </si>
  <si>
    <t>Prince_William__VA</t>
  </si>
  <si>
    <t>Prince William</t>
  </si>
  <si>
    <t>Pulaski__VA</t>
  </si>
  <si>
    <t>Radford__VA</t>
  </si>
  <si>
    <t>Radford</t>
  </si>
  <si>
    <t>Rappahannock__VA</t>
  </si>
  <si>
    <t>Rappahannock</t>
  </si>
  <si>
    <t>Richmond__VA</t>
  </si>
  <si>
    <t>Richmond_Co___VA</t>
  </si>
  <si>
    <t xml:space="preserve">Richmond Co </t>
  </si>
  <si>
    <t>Roanoke__VA</t>
  </si>
  <si>
    <t>Roanoke</t>
  </si>
  <si>
    <t>Roanoke_Co___VA</t>
  </si>
  <si>
    <t xml:space="preserve">Roanoke Co </t>
  </si>
  <si>
    <t>Rockbridge__VA</t>
  </si>
  <si>
    <t>Rockbridge</t>
  </si>
  <si>
    <t>Rockingham__VA</t>
  </si>
  <si>
    <t>Russell__VA</t>
  </si>
  <si>
    <t>Salem__VA</t>
  </si>
  <si>
    <t>Scott__VA</t>
  </si>
  <si>
    <t>Shenandoah__VA</t>
  </si>
  <si>
    <t>Shenandoah</t>
  </si>
  <si>
    <t>Smyth__VA</t>
  </si>
  <si>
    <t>Smyth</t>
  </si>
  <si>
    <t>Southampton__VA</t>
  </si>
  <si>
    <t>Southampton</t>
  </si>
  <si>
    <t>Spotsylvania__VA</t>
  </si>
  <si>
    <t>Spotsylvania</t>
  </si>
  <si>
    <t>Stafford__VA</t>
  </si>
  <si>
    <t xml:space="preserve">Little Falls Run (optional: Aquia) </t>
  </si>
  <si>
    <t>Staunton__VA</t>
  </si>
  <si>
    <t>Staunton</t>
  </si>
  <si>
    <t>Suffolk__VA</t>
  </si>
  <si>
    <t>Surry__VA</t>
  </si>
  <si>
    <t>Sussex__VA</t>
  </si>
  <si>
    <t>Tazewell__VA</t>
  </si>
  <si>
    <t>Virginia_Beach__VA</t>
  </si>
  <si>
    <t>Virginia Beach</t>
  </si>
  <si>
    <t>Warren__VA</t>
  </si>
  <si>
    <t>Washington__VA</t>
  </si>
  <si>
    <t>Waynesboro__VA</t>
  </si>
  <si>
    <t>Waynesboro</t>
  </si>
  <si>
    <t>Westmoreland__VA</t>
  </si>
  <si>
    <t>Williamsburg__VA</t>
  </si>
  <si>
    <t>Winchester__VA</t>
  </si>
  <si>
    <t>Winchester</t>
  </si>
  <si>
    <t>Wise__VA</t>
  </si>
  <si>
    <t>Wythe__VA</t>
  </si>
  <si>
    <t>Wythe</t>
  </si>
  <si>
    <t>York__VA</t>
  </si>
  <si>
    <t>Addison__VT</t>
  </si>
  <si>
    <t>VERMONT</t>
  </si>
  <si>
    <t>Addison</t>
  </si>
  <si>
    <t>Bennington__VT</t>
  </si>
  <si>
    <t>Bennington</t>
  </si>
  <si>
    <t>Caledonia__VT</t>
  </si>
  <si>
    <t>Caledonia</t>
  </si>
  <si>
    <t>Chittenden__VT</t>
  </si>
  <si>
    <t>Chittenden</t>
  </si>
  <si>
    <t>Essex Junction (optional: South Burlington)</t>
  </si>
  <si>
    <t>Essex__VT</t>
  </si>
  <si>
    <t>Franklin__VT</t>
  </si>
  <si>
    <t>Grand_Isle__VT</t>
  </si>
  <si>
    <t>Grand Isle</t>
  </si>
  <si>
    <t>Lamoille__VT</t>
  </si>
  <si>
    <t>Lamoille</t>
  </si>
  <si>
    <t>Orange__VT</t>
  </si>
  <si>
    <t>Orleans__VT</t>
  </si>
  <si>
    <t>Rutland__VT</t>
  </si>
  <si>
    <t>Rutland</t>
  </si>
  <si>
    <t>Washington__VT</t>
  </si>
  <si>
    <t>Montpelier</t>
  </si>
  <si>
    <t>Windham__VT</t>
  </si>
  <si>
    <t>Windham</t>
  </si>
  <si>
    <t>Windsor__VT</t>
  </si>
  <si>
    <t>Windsor</t>
  </si>
  <si>
    <t>Adams__WA</t>
  </si>
  <si>
    <t>WASHINGTON</t>
  </si>
  <si>
    <t>Asotin__WA</t>
  </si>
  <si>
    <t>Asotin</t>
  </si>
  <si>
    <t>Benton__WA</t>
  </si>
  <si>
    <t>Chelan__WA</t>
  </si>
  <si>
    <t>Chelan</t>
  </si>
  <si>
    <t>Clallam__WA</t>
  </si>
  <si>
    <t>Clallam</t>
  </si>
  <si>
    <t>Clark__WA</t>
  </si>
  <si>
    <t>Columbia__WA</t>
  </si>
  <si>
    <t>Cowlitz__WA</t>
  </si>
  <si>
    <t>Cowlitz</t>
  </si>
  <si>
    <t>Douglas__WA</t>
  </si>
  <si>
    <t>Ferry__WA</t>
  </si>
  <si>
    <t>Ferry</t>
  </si>
  <si>
    <t>Franklin__WA</t>
  </si>
  <si>
    <t>Garfield__WA</t>
  </si>
  <si>
    <t>Grant__WA</t>
  </si>
  <si>
    <t>Grays_Harbor__WA</t>
  </si>
  <si>
    <t>Grays Harbor</t>
  </si>
  <si>
    <t>Island__WA</t>
  </si>
  <si>
    <t>Island</t>
  </si>
  <si>
    <t>Jefferson__WA</t>
  </si>
  <si>
    <t>King__WA</t>
  </si>
  <si>
    <t>Kitsap__WA</t>
  </si>
  <si>
    <t>Kitsap</t>
  </si>
  <si>
    <t>Kittitas__WA</t>
  </si>
  <si>
    <t>Kittitas</t>
  </si>
  <si>
    <t>Klickitat__WA</t>
  </si>
  <si>
    <t>Klickitat</t>
  </si>
  <si>
    <t>Lewis__WA</t>
  </si>
  <si>
    <t>Lincoln__WA</t>
  </si>
  <si>
    <t>Mason__WA</t>
  </si>
  <si>
    <t>Okanogan__WA</t>
  </si>
  <si>
    <t>Okanogan</t>
  </si>
  <si>
    <t>Pacific__WA</t>
  </si>
  <si>
    <t>Pacific</t>
  </si>
  <si>
    <t>Pend_Oreille__WA</t>
  </si>
  <si>
    <t>Pend Oreille</t>
  </si>
  <si>
    <t>Pierce__WA</t>
  </si>
  <si>
    <t>San_Juan__WA</t>
  </si>
  <si>
    <t>Skagit__WA</t>
  </si>
  <si>
    <t>Skagit</t>
  </si>
  <si>
    <t>Skamania__WA</t>
  </si>
  <si>
    <t>Skamania</t>
  </si>
  <si>
    <t>Snohomish__WA</t>
  </si>
  <si>
    <t>Snohomish</t>
  </si>
  <si>
    <t>Spokane__WA</t>
  </si>
  <si>
    <t>Spokane</t>
  </si>
  <si>
    <t>Stevens__WA</t>
  </si>
  <si>
    <t>Thurston__WA</t>
  </si>
  <si>
    <t>Wahkiakum__WA</t>
  </si>
  <si>
    <t>Wahkiakum</t>
  </si>
  <si>
    <t>Walla_Walla__WA</t>
  </si>
  <si>
    <t>Walla Walla</t>
  </si>
  <si>
    <t>Whatcom__WA</t>
  </si>
  <si>
    <t>Whatcom</t>
  </si>
  <si>
    <t>Whitman__WA</t>
  </si>
  <si>
    <t>Whitman</t>
  </si>
  <si>
    <t>Yakima__WA</t>
  </si>
  <si>
    <t>Yakima</t>
  </si>
  <si>
    <t>Adams__WI</t>
  </si>
  <si>
    <t>WISCONSIN</t>
  </si>
  <si>
    <t>Ashland__WI</t>
  </si>
  <si>
    <t>Barron__WI</t>
  </si>
  <si>
    <t>Barron</t>
  </si>
  <si>
    <t>Bayfield__WI</t>
  </si>
  <si>
    <t>Bayfield</t>
  </si>
  <si>
    <t>Brown__WI</t>
  </si>
  <si>
    <t>Buffalo__WI</t>
  </si>
  <si>
    <t>Burnett__WI</t>
  </si>
  <si>
    <t>Burnett</t>
  </si>
  <si>
    <t>Calumet__WI</t>
  </si>
  <si>
    <t>Calumet</t>
  </si>
  <si>
    <t>Chippewa__WI</t>
  </si>
  <si>
    <t>Clark__WI</t>
  </si>
  <si>
    <t>Columbia__WI</t>
  </si>
  <si>
    <t>Crawford__WI</t>
  </si>
  <si>
    <t>Dane__WI</t>
  </si>
  <si>
    <t>Dane</t>
  </si>
  <si>
    <t>Dodge__WI</t>
  </si>
  <si>
    <t>Door__WI</t>
  </si>
  <si>
    <t>Door</t>
  </si>
  <si>
    <t>Douglas__WI</t>
  </si>
  <si>
    <t>Dunn__WI</t>
  </si>
  <si>
    <t>Eau_Claire__WI</t>
  </si>
  <si>
    <t>Eau Claire</t>
  </si>
  <si>
    <t>Florence__WI</t>
  </si>
  <si>
    <t>Fond_du_Lac__WI</t>
  </si>
  <si>
    <t>Fond du Lac</t>
  </si>
  <si>
    <t>Forest__WI</t>
  </si>
  <si>
    <t>Grant__WI</t>
  </si>
  <si>
    <t>Green__WI</t>
  </si>
  <si>
    <t>Green_Lake__WI</t>
  </si>
  <si>
    <t>Green Lake</t>
  </si>
  <si>
    <t>Iowa__WI</t>
  </si>
  <si>
    <t>Iron__WI</t>
  </si>
  <si>
    <t>Jackson__WI</t>
  </si>
  <si>
    <t>Jefferson__WI</t>
  </si>
  <si>
    <t>Juneau__WI</t>
  </si>
  <si>
    <t>Kenosha__WI</t>
  </si>
  <si>
    <t>Kenosha</t>
  </si>
  <si>
    <t>Kewaunee__WI</t>
  </si>
  <si>
    <t>Kewaunee</t>
  </si>
  <si>
    <t>La_Crosse__WI</t>
  </si>
  <si>
    <t>La Crosse</t>
  </si>
  <si>
    <t>Lafayette__WI</t>
  </si>
  <si>
    <t>Langlade__WI</t>
  </si>
  <si>
    <t>Langlade</t>
  </si>
  <si>
    <t>Lincoln__WI</t>
  </si>
  <si>
    <t>Manitowoc__WI</t>
  </si>
  <si>
    <t>Manitowoc</t>
  </si>
  <si>
    <t>Marathon__WI</t>
  </si>
  <si>
    <t>Marathon</t>
  </si>
  <si>
    <t>Wausau</t>
  </si>
  <si>
    <t>Marinette__WI</t>
  </si>
  <si>
    <t>Marinette</t>
  </si>
  <si>
    <t>Marquette__WI</t>
  </si>
  <si>
    <t>Menominee__WI</t>
  </si>
  <si>
    <t>Milwaukee__WI</t>
  </si>
  <si>
    <t>Milwaukee</t>
  </si>
  <si>
    <t>Monroe__WI</t>
  </si>
  <si>
    <t>Oconto__WI</t>
  </si>
  <si>
    <t>Oconto</t>
  </si>
  <si>
    <t>Oneida__WI</t>
  </si>
  <si>
    <t>Outagamie__WI</t>
  </si>
  <si>
    <t>Outagamie</t>
  </si>
  <si>
    <t>Ozaukee__WI</t>
  </si>
  <si>
    <t>Ozaukee</t>
  </si>
  <si>
    <t>Pepin__WI</t>
  </si>
  <si>
    <t>Pepin</t>
  </si>
  <si>
    <t>Pierce__WI</t>
  </si>
  <si>
    <t>Polk__WI</t>
  </si>
  <si>
    <t>Portage__WI</t>
  </si>
  <si>
    <t>Price__WI</t>
  </si>
  <si>
    <t>Price</t>
  </si>
  <si>
    <t>Racine__WI</t>
  </si>
  <si>
    <t>Racine</t>
  </si>
  <si>
    <t>Richland__WI</t>
  </si>
  <si>
    <t>Rock__WI</t>
  </si>
  <si>
    <t>Rusk__WI</t>
  </si>
  <si>
    <t>Sauk__WI</t>
  </si>
  <si>
    <t>Sauk</t>
  </si>
  <si>
    <t>Sawyer__WI</t>
  </si>
  <si>
    <t>Sawyer</t>
  </si>
  <si>
    <t>Shawano__WI</t>
  </si>
  <si>
    <t>Shawano</t>
  </si>
  <si>
    <t>Sheboygan__WI</t>
  </si>
  <si>
    <t>Sheboygan</t>
  </si>
  <si>
    <t>St__Croix__WI</t>
  </si>
  <si>
    <t>St  Croix</t>
  </si>
  <si>
    <t>Taylor__WI</t>
  </si>
  <si>
    <t>Trempealeau__WI</t>
  </si>
  <si>
    <t>Trempealeau</t>
  </si>
  <si>
    <t>Vernon__WI</t>
  </si>
  <si>
    <t>Vilas__WI</t>
  </si>
  <si>
    <t>Vilas</t>
  </si>
  <si>
    <t>Walworth__WI</t>
  </si>
  <si>
    <t>Washburn__WI</t>
  </si>
  <si>
    <t>Washburn</t>
  </si>
  <si>
    <t>Washington__WI</t>
  </si>
  <si>
    <t>Waukesha__WI</t>
  </si>
  <si>
    <t>Waukesha</t>
  </si>
  <si>
    <t>Waupaca__WI</t>
  </si>
  <si>
    <t>Waupaca</t>
  </si>
  <si>
    <t>Waushara__WI</t>
  </si>
  <si>
    <t>Waushara</t>
  </si>
  <si>
    <t>Winnebago__WI</t>
  </si>
  <si>
    <t>Wood__WI</t>
  </si>
  <si>
    <t>Barbour__WV</t>
  </si>
  <si>
    <t>WEST VIRGINIA</t>
  </si>
  <si>
    <t>Berkeley__WV</t>
  </si>
  <si>
    <t>Boone__WV</t>
  </si>
  <si>
    <t>Braxton__WV</t>
  </si>
  <si>
    <t>Braxton</t>
  </si>
  <si>
    <t>Brooke__WV</t>
  </si>
  <si>
    <t>Brooke</t>
  </si>
  <si>
    <t>Cabell__WV</t>
  </si>
  <si>
    <t>Cabell</t>
  </si>
  <si>
    <t>Calhoun__WV</t>
  </si>
  <si>
    <t>Clay__WV</t>
  </si>
  <si>
    <t>Doddridge__WV</t>
  </si>
  <si>
    <t>Doddridge</t>
  </si>
  <si>
    <t>Fayette__WV</t>
  </si>
  <si>
    <t>Gilmer__WV</t>
  </si>
  <si>
    <t>Grant__WV</t>
  </si>
  <si>
    <t>Greenbrier__WV</t>
  </si>
  <si>
    <t>Greenbrier</t>
  </si>
  <si>
    <t>Hampshire__WV</t>
  </si>
  <si>
    <t>Hancock__WV</t>
  </si>
  <si>
    <t>Hardy__WV</t>
  </si>
  <si>
    <t>Hardy</t>
  </si>
  <si>
    <t>Harrison__WV</t>
  </si>
  <si>
    <t>Jackson__WV</t>
  </si>
  <si>
    <t>Jefferson__WV</t>
  </si>
  <si>
    <t>Kanawha__WV</t>
  </si>
  <si>
    <t>Kanawha</t>
  </si>
  <si>
    <t>Lewis__WV</t>
  </si>
  <si>
    <t>Lincoln__WV</t>
  </si>
  <si>
    <t>Logan__WV</t>
  </si>
  <si>
    <t>Marion__WV</t>
  </si>
  <si>
    <t>Marshall__WV</t>
  </si>
  <si>
    <t>Wheeling</t>
  </si>
  <si>
    <t>Mason__WV</t>
  </si>
  <si>
    <t>McDowell__WV</t>
  </si>
  <si>
    <t>Mercer__WV</t>
  </si>
  <si>
    <t>Mineral__WV</t>
  </si>
  <si>
    <t>Mingo__WV</t>
  </si>
  <si>
    <t>Mingo</t>
  </si>
  <si>
    <t>Monongalia__WV</t>
  </si>
  <si>
    <t>Monongalia</t>
  </si>
  <si>
    <t>Monroe__WV</t>
  </si>
  <si>
    <t>Morgan__WV</t>
  </si>
  <si>
    <t>Nicholas__WV</t>
  </si>
  <si>
    <t>Ohio__WV</t>
  </si>
  <si>
    <t>Pendleton__WV</t>
  </si>
  <si>
    <t>Pleasants__WV</t>
  </si>
  <si>
    <t>Pleasants</t>
  </si>
  <si>
    <t>Pocahontas__WV</t>
  </si>
  <si>
    <t>Preston__WV</t>
  </si>
  <si>
    <t>Preston</t>
  </si>
  <si>
    <t>Putnam__WV</t>
  </si>
  <si>
    <t>Raleigh__WV</t>
  </si>
  <si>
    <t>Raleigh</t>
  </si>
  <si>
    <t>Randolph__WV</t>
  </si>
  <si>
    <t>Ritchie__WV</t>
  </si>
  <si>
    <t>Ritchie</t>
  </si>
  <si>
    <t>Roane__WV</t>
  </si>
  <si>
    <t>Summers__WV</t>
  </si>
  <si>
    <t>Summers</t>
  </si>
  <si>
    <t>Taylor__WV</t>
  </si>
  <si>
    <t>Tucker__WV</t>
  </si>
  <si>
    <t>Tucker</t>
  </si>
  <si>
    <t>Tyler__WV</t>
  </si>
  <si>
    <t>Upshur__WV</t>
  </si>
  <si>
    <t>Wayne__WV</t>
  </si>
  <si>
    <t>Webster__WV</t>
  </si>
  <si>
    <t>Wetzel__WV</t>
  </si>
  <si>
    <t>Wetzel</t>
  </si>
  <si>
    <t>Wirt__WV</t>
  </si>
  <si>
    <t>Wirt</t>
  </si>
  <si>
    <t>Wood__WV</t>
  </si>
  <si>
    <t>Wyoming__WV</t>
  </si>
  <si>
    <t>Albany__WY</t>
  </si>
  <si>
    <t>WYOMING</t>
  </si>
  <si>
    <t>Big_Horn__WY</t>
  </si>
  <si>
    <t>Campbell__WY</t>
  </si>
  <si>
    <t>Carbon__WY</t>
  </si>
  <si>
    <t>Converse__WY</t>
  </si>
  <si>
    <t>Converse</t>
  </si>
  <si>
    <t>Crook__WY</t>
  </si>
  <si>
    <t>Fremont__WY</t>
  </si>
  <si>
    <t>Goshen__WY</t>
  </si>
  <si>
    <t>Goshen</t>
  </si>
  <si>
    <t>Hot_Springs__WY</t>
  </si>
  <si>
    <t>Hot Springs</t>
  </si>
  <si>
    <t>Johnson__WY</t>
  </si>
  <si>
    <t>Laramie__WY</t>
  </si>
  <si>
    <t>Laramie</t>
  </si>
  <si>
    <t>Lincoln__WY</t>
  </si>
  <si>
    <t>Natrona__WY</t>
  </si>
  <si>
    <t>Natrona</t>
  </si>
  <si>
    <t>Niobrara__WY</t>
  </si>
  <si>
    <t>Niobrara</t>
  </si>
  <si>
    <t>Park__WY</t>
  </si>
  <si>
    <t>Platte__WY</t>
  </si>
  <si>
    <t>Sheridan__WY</t>
  </si>
  <si>
    <t>Sublette__WY</t>
  </si>
  <si>
    <t>Sublette</t>
  </si>
  <si>
    <t>Sweetwater__WY</t>
  </si>
  <si>
    <t>Sweetwater</t>
  </si>
  <si>
    <t>Teton__WY</t>
  </si>
  <si>
    <t>Uinta__WY</t>
  </si>
  <si>
    <t>Uinta</t>
  </si>
  <si>
    <t>Washakie__WY</t>
  </si>
  <si>
    <t>Washakie</t>
  </si>
  <si>
    <t>Weston__WY</t>
  </si>
  <si>
    <t>Weston</t>
  </si>
  <si>
    <t>Guam__GU</t>
  </si>
  <si>
    <t>Guam</t>
  </si>
  <si>
    <t>Rota__MP</t>
  </si>
  <si>
    <t>Northern Mariana Islands</t>
  </si>
  <si>
    <t>Rota</t>
  </si>
  <si>
    <t>Tinian__MP</t>
  </si>
  <si>
    <t>Tinian</t>
  </si>
  <si>
    <t>Saipan__MP</t>
  </si>
  <si>
    <t>Saipan</t>
  </si>
  <si>
    <t>Northern_Islands__MP</t>
  </si>
  <si>
    <t>Northern Islands</t>
  </si>
  <si>
    <t>Western__AS</t>
  </si>
  <si>
    <t>American Samoa</t>
  </si>
  <si>
    <t>Western</t>
  </si>
  <si>
    <t>Eastern__AS</t>
  </si>
  <si>
    <t>Eastern</t>
  </si>
  <si>
    <t>Manuʻa__AS</t>
  </si>
  <si>
    <t>Manuʻa</t>
  </si>
  <si>
    <t>Saint_Croix__VI</t>
  </si>
  <si>
    <t>Virgin Islands</t>
  </si>
  <si>
    <t>Saint Croix</t>
  </si>
  <si>
    <t>Saint_John__VI</t>
  </si>
  <si>
    <t>Saint John</t>
  </si>
  <si>
    <t>Saint_Thomas__VI</t>
  </si>
  <si>
    <t>Saint Thomas</t>
  </si>
  <si>
    <t>Añasco__PR</t>
  </si>
  <si>
    <t>Puerto Rico</t>
  </si>
  <si>
    <t>Añasco</t>
  </si>
  <si>
    <t>Adjuntas__PR</t>
  </si>
  <si>
    <t>Adjuntas</t>
  </si>
  <si>
    <t>Aguada__PR</t>
  </si>
  <si>
    <t>Aguada</t>
  </si>
  <si>
    <t>Aguadilla__PR</t>
  </si>
  <si>
    <t>Aguadilla</t>
  </si>
  <si>
    <t>Aguas_Buenas__PR</t>
  </si>
  <si>
    <t>Aguas Buenas</t>
  </si>
  <si>
    <t>Aibonito__PR</t>
  </si>
  <si>
    <t>Aibonito</t>
  </si>
  <si>
    <t>Arecibo__PR</t>
  </si>
  <si>
    <t>Arecibo</t>
  </si>
  <si>
    <t>Arroyo__PR</t>
  </si>
  <si>
    <t>Arroyo</t>
  </si>
  <si>
    <t>Barceloneta__PR</t>
  </si>
  <si>
    <t>Barceloneta</t>
  </si>
  <si>
    <t>Barranquitas__PR</t>
  </si>
  <si>
    <t>Barranquitas</t>
  </si>
  <si>
    <t>Bayamón__PR</t>
  </si>
  <si>
    <t>Bayamón</t>
  </si>
  <si>
    <t>Cabo_Rojo__PR</t>
  </si>
  <si>
    <t>Cabo Rojo</t>
  </si>
  <si>
    <t>Caguas__PR</t>
  </si>
  <si>
    <t>Caguas</t>
  </si>
  <si>
    <t>Camuy__PR</t>
  </si>
  <si>
    <t>Camuy</t>
  </si>
  <si>
    <t>Canóvanas__PR</t>
  </si>
  <si>
    <t>Canóvanas</t>
  </si>
  <si>
    <t>Carolina__PR</t>
  </si>
  <si>
    <t>Carolina</t>
  </si>
  <si>
    <t>Cataño__PR</t>
  </si>
  <si>
    <t>Cataño</t>
  </si>
  <si>
    <t>Cayey__PR</t>
  </si>
  <si>
    <t>Cayey</t>
  </si>
  <si>
    <t>Ceiba__PR</t>
  </si>
  <si>
    <t>Ceiba</t>
  </si>
  <si>
    <t>Ciales__PR</t>
  </si>
  <si>
    <t>Ciales</t>
  </si>
  <si>
    <t>Cidra__PR</t>
  </si>
  <si>
    <t>Cidra</t>
  </si>
  <si>
    <t>Coamo__PR</t>
  </si>
  <si>
    <t>Coamo</t>
  </si>
  <si>
    <t>Comerío__PR</t>
  </si>
  <si>
    <t>Comerío</t>
  </si>
  <si>
    <t>Corozal__PR</t>
  </si>
  <si>
    <t>Corozal</t>
  </si>
  <si>
    <t>Culebra__PR</t>
  </si>
  <si>
    <t>Culebra</t>
  </si>
  <si>
    <t>Dorado__PR</t>
  </si>
  <si>
    <t>Dorado</t>
  </si>
  <si>
    <t>Fajardo__PR</t>
  </si>
  <si>
    <t>Fajardo</t>
  </si>
  <si>
    <t>Florida__PR</t>
  </si>
  <si>
    <t>Florida</t>
  </si>
  <si>
    <t>Guánica__PR</t>
  </si>
  <si>
    <t>Guánica</t>
  </si>
  <si>
    <t>Guayama__PR</t>
  </si>
  <si>
    <t>Guayama</t>
  </si>
  <si>
    <t>Guayanilla__PR</t>
  </si>
  <si>
    <t>Guayanilla</t>
  </si>
  <si>
    <t>Guaynabo__PR</t>
  </si>
  <si>
    <t>Guaynabo</t>
  </si>
  <si>
    <t>Gurabo__PR</t>
  </si>
  <si>
    <t>Gurabo</t>
  </si>
  <si>
    <t>Hatillo__PR</t>
  </si>
  <si>
    <t>Hatillo</t>
  </si>
  <si>
    <t>Hormigueros__PR</t>
  </si>
  <si>
    <t>Hormigueros</t>
  </si>
  <si>
    <t>Humacao__PR</t>
  </si>
  <si>
    <t>Humacao</t>
  </si>
  <si>
    <t>Isabela__PR</t>
  </si>
  <si>
    <t>Isabela</t>
  </si>
  <si>
    <t>Jayuya__PR</t>
  </si>
  <si>
    <t>Jayuya</t>
  </si>
  <si>
    <t>Juana_Díaz__PR</t>
  </si>
  <si>
    <t>Juana Díaz</t>
  </si>
  <si>
    <t>Juncos__PR</t>
  </si>
  <si>
    <t>Juncos</t>
  </si>
  <si>
    <t>Lajas__PR</t>
  </si>
  <si>
    <t>Lajas</t>
  </si>
  <si>
    <t>Lares__PR</t>
  </si>
  <si>
    <t>Lares</t>
  </si>
  <si>
    <t>Las_Marías__PR</t>
  </si>
  <si>
    <t>Las Marías</t>
  </si>
  <si>
    <t>Las_Piedras__PR</t>
  </si>
  <si>
    <t>Las Piedras</t>
  </si>
  <si>
    <t>Loíza__PR</t>
  </si>
  <si>
    <t>Loíza</t>
  </si>
  <si>
    <t>Luquillo__PR</t>
  </si>
  <si>
    <t>Luquillo</t>
  </si>
  <si>
    <t>Manatí__PR</t>
  </si>
  <si>
    <t>Manatí</t>
  </si>
  <si>
    <t>Maricao__PR</t>
  </si>
  <si>
    <t>Maricao</t>
  </si>
  <si>
    <t>Maunabo__PR</t>
  </si>
  <si>
    <t>Maunabo</t>
  </si>
  <si>
    <t>Mayagüez__PR</t>
  </si>
  <si>
    <t>Mayagüez</t>
  </si>
  <si>
    <t>Moca__PR</t>
  </si>
  <si>
    <t>Moca</t>
  </si>
  <si>
    <t>Morovis__PR</t>
  </si>
  <si>
    <t>Morovis</t>
  </si>
  <si>
    <t>Naguabo__PR</t>
  </si>
  <si>
    <t>Naguabo</t>
  </si>
  <si>
    <t>Naranjito__PR</t>
  </si>
  <si>
    <t>Naranjito</t>
  </si>
  <si>
    <t>Orocovis__PR</t>
  </si>
  <si>
    <t>Orocovis</t>
  </si>
  <si>
    <t>Patillas__PR</t>
  </si>
  <si>
    <t>Patillas</t>
  </si>
  <si>
    <t>Peñuelas__PR</t>
  </si>
  <si>
    <t>Peñuelas</t>
  </si>
  <si>
    <t>Ponce__PR</t>
  </si>
  <si>
    <t>Ponce</t>
  </si>
  <si>
    <t>Quebradillas__PR</t>
  </si>
  <si>
    <t>Quebradillas</t>
  </si>
  <si>
    <t>Río_Grande__PR</t>
  </si>
  <si>
    <t>Río Grande</t>
  </si>
  <si>
    <t>Rincón__PR</t>
  </si>
  <si>
    <t>Rincón</t>
  </si>
  <si>
    <t>Sabana_Grande__PR</t>
  </si>
  <si>
    <t>Sabana Grande</t>
  </si>
  <si>
    <t>Salinas__PR</t>
  </si>
  <si>
    <t>Salinas</t>
  </si>
  <si>
    <t>San_Germán__PR</t>
  </si>
  <si>
    <t>San Germán</t>
  </si>
  <si>
    <t>San_Juan__PR</t>
  </si>
  <si>
    <t>San_Lorenzo__PR</t>
  </si>
  <si>
    <t>San Lorenzo</t>
  </si>
  <si>
    <t>San_Sebastián__PR</t>
  </si>
  <si>
    <t>San Sebastián</t>
  </si>
  <si>
    <t>Santa_Isabel__PR</t>
  </si>
  <si>
    <t>Santa Isabel</t>
  </si>
  <si>
    <t>Toa_Alta__PR</t>
  </si>
  <si>
    <t>Toa Alta</t>
  </si>
  <si>
    <t>Toa_Baja__PR</t>
  </si>
  <si>
    <t>Toa Baja</t>
  </si>
  <si>
    <t>Trujillo_Alto__PR</t>
  </si>
  <si>
    <t>Trujillo Alto</t>
  </si>
  <si>
    <t>Utuado__PR</t>
  </si>
  <si>
    <t>Utuado</t>
  </si>
  <si>
    <t>Vega_Alta__PR</t>
  </si>
  <si>
    <t>Vega Alta</t>
  </si>
  <si>
    <t>Vega_Baja__PR</t>
  </si>
  <si>
    <t>Vega Baja</t>
  </si>
  <si>
    <t>Vieques__PR</t>
  </si>
  <si>
    <t>Vieques</t>
  </si>
  <si>
    <t>Villalba__PR</t>
  </si>
  <si>
    <t>Villalba</t>
  </si>
  <si>
    <t>Yabucoa__PR</t>
  </si>
  <si>
    <t>Yabucoa</t>
  </si>
  <si>
    <t>Yauco__PR</t>
  </si>
  <si>
    <t>Yauco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</si>
</sst>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;;;"/>
  </numFmts>
  <fonts count="13">
    <font>
      <sz val="11.0"/>
      <color theme="1"/>
      <name val="Aptos Narrow"/>
      <scheme val="minor"/>
    </font>
    <font>
      <b/>
      <sz val="14.0"/>
      <color rgb="FFF2F2F2"/>
      <name val="Aptos Narrow"/>
    </font>
    <font>
      <b/>
      <sz val="14.0"/>
      <color theme="0"/>
      <name val="Aptos Narrow"/>
    </font>
    <font>
      <color theme="1"/>
      <name val="Arial"/>
    </font>
    <font>
      <sz val="11.0"/>
      <color theme="1"/>
      <name val="Aptos Narrow"/>
    </font>
    <font>
      <sz val="24.0"/>
      <color theme="1"/>
      <name val="Aptos Narrow"/>
    </font>
    <font>
      <sz val="10.0"/>
      <color theme="1"/>
      <name val="Arial"/>
    </font>
    <font/>
    <font>
      <sz val="11.0"/>
      <color theme="0"/>
      <name val="Aptos Narrow"/>
    </font>
    <font>
      <sz val="11.0"/>
      <color rgb="FF006100"/>
      <name val="Aptos Narrow"/>
    </font>
    <font>
      <b/>
      <sz val="11.0"/>
      <color theme="1"/>
      <name val="Aptos Narrow"/>
    </font>
    <font>
      <color theme="1"/>
      <name val="Aptos Narrow"/>
      <scheme val="minor"/>
    </font>
    <font>
      <sz val="12.0"/>
      <color theme="1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501549"/>
        <bgColor rgb="FF501549"/>
      </patternFill>
    </fill>
    <fill>
      <patternFill patternType="solid">
        <fgColor rgb="FF275317"/>
        <bgColor rgb="FF275317"/>
      </patternFill>
    </fill>
    <fill>
      <patternFill patternType="solid">
        <fgColor theme="0"/>
        <bgColor theme="0"/>
      </patternFill>
    </fill>
    <fill>
      <patternFill patternType="solid">
        <fgColor rgb="FFD1DBDD"/>
        <bgColor rgb="FFD1DBDD"/>
      </patternFill>
    </fill>
    <fill>
      <patternFill patternType="solid">
        <fgColor rgb="FF0070C0"/>
        <bgColor rgb="FF0070C0"/>
      </patternFill>
    </fill>
    <fill>
      <patternFill patternType="solid">
        <fgColor rgb="FFC6EFCE"/>
        <bgColor rgb="FFC6EFCE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readingOrder="0"/>
    </xf>
    <xf borderId="1" fillId="4" fontId="4" numFmtId="0" xfId="0" applyBorder="1" applyFill="1" applyFont="1"/>
    <xf borderId="2" fillId="4" fontId="5" numFmtId="0" xfId="0" applyAlignment="1" applyBorder="1" applyFont="1">
      <alignment horizontal="center" textRotation="45" vertical="center"/>
    </xf>
    <xf borderId="1" fillId="0" fontId="4" numFmtId="0" xfId="0" applyBorder="1" applyFont="1"/>
    <xf borderId="1" fillId="5" fontId="6" numFmtId="164" xfId="0" applyBorder="1" applyFill="1" applyFont="1" applyNumberFormat="1"/>
    <xf borderId="3" fillId="0" fontId="7" numFmtId="0" xfId="0" applyBorder="1" applyFont="1"/>
    <xf borderId="1" fillId="6" fontId="8" numFmtId="0" xfId="0" applyBorder="1" applyFill="1" applyFont="1"/>
    <xf borderId="4" fillId="7" fontId="9" numFmtId="0" xfId="0" applyBorder="1" applyFill="1" applyFont="1"/>
    <xf borderId="5" fillId="0" fontId="7" numFmtId="0" xfId="0" applyBorder="1" applyFont="1"/>
    <xf borderId="1" fillId="5" fontId="10" numFmtId="164" xfId="0" applyAlignment="1" applyBorder="1" applyFont="1" applyNumberFormat="1">
      <alignment vertical="center"/>
    </xf>
    <xf borderId="0" fillId="0" fontId="11" numFmtId="0" xfId="0" applyFont="1"/>
    <xf borderId="0" fillId="0" fontId="4" numFmtId="0" xfId="0" applyFont="1"/>
    <xf borderId="4" fillId="6" fontId="8" numFmtId="0" xfId="0" applyBorder="1" applyFont="1"/>
    <xf borderId="1" fillId="4" fontId="5" numFmtId="0" xfId="0" applyAlignment="1" applyBorder="1" applyFont="1">
      <alignment horizontal="center" textRotation="45" vertical="center"/>
    </xf>
    <xf borderId="1" fillId="4" fontId="4" numFmtId="49" xfId="0" applyBorder="1" applyFont="1" applyNumberFormat="1"/>
    <xf borderId="6" fillId="0" fontId="7" numFmtId="0" xfId="0" applyBorder="1" applyFont="1"/>
    <xf borderId="1" fillId="0" fontId="4" numFmtId="0" xfId="0" applyAlignment="1" applyBorder="1" applyFont="1">
      <alignment horizontal="center"/>
    </xf>
    <xf borderId="2" fillId="4" fontId="1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0"/>
    <col customWidth="1" min="2" max="2" width="29.13"/>
    <col customWidth="1" min="3" max="3" width="26.25"/>
    <col customWidth="1" min="4" max="4" width="8.63"/>
    <col customWidth="1" min="5" max="5" width="76.0"/>
    <col customWidth="1" min="6" max="26" width="8.63"/>
  </cols>
  <sheetData>
    <row r="1" ht="25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ht="25.5" customHeight="1">
      <c r="A2" s="4" t="s">
        <v>5</v>
      </c>
      <c r="B2" s="5" t="s">
        <v>6</v>
      </c>
      <c r="C2" s="6" t="s">
        <v>7</v>
      </c>
      <c r="D2" s="7">
        <f>D4</f>
        <v>60.28</v>
      </c>
    </row>
    <row r="3" ht="25.5" customHeight="1">
      <c r="A3" s="4" t="s">
        <v>8</v>
      </c>
      <c r="B3" s="8"/>
      <c r="C3" s="6" t="s">
        <v>9</v>
      </c>
      <c r="D3" s="7">
        <f>D4</f>
        <v>60.28</v>
      </c>
    </row>
    <row r="4" ht="25.5" customHeight="1">
      <c r="A4" s="4" t="s">
        <v>10</v>
      </c>
      <c r="B4" s="8"/>
      <c r="C4" s="9" t="s">
        <v>11</v>
      </c>
      <c r="D4" s="7">
        <v>60.28</v>
      </c>
      <c r="E4" s="10" t="s">
        <v>11</v>
      </c>
    </row>
    <row r="5" ht="25.5" customHeight="1">
      <c r="A5" s="4" t="s">
        <v>12</v>
      </c>
      <c r="B5" s="8"/>
      <c r="C5" s="6" t="s">
        <v>13</v>
      </c>
      <c r="D5" s="7">
        <f>D4</f>
        <v>60.28</v>
      </c>
    </row>
    <row r="6" ht="25.5" customHeight="1">
      <c r="A6" s="4" t="s">
        <v>14</v>
      </c>
      <c r="B6" s="8"/>
      <c r="C6" s="6" t="s">
        <v>15</v>
      </c>
      <c r="D6" s="7">
        <f>D4</f>
        <v>60.28</v>
      </c>
    </row>
    <row r="7" ht="25.5" customHeight="1">
      <c r="A7" s="4" t="s">
        <v>16</v>
      </c>
      <c r="B7" s="8"/>
      <c r="C7" s="6" t="s">
        <v>17</v>
      </c>
      <c r="D7" s="7">
        <f>D4</f>
        <v>60.28</v>
      </c>
    </row>
    <row r="8" ht="25.5" customHeight="1">
      <c r="A8" s="4" t="s">
        <v>18</v>
      </c>
      <c r="B8" s="8"/>
      <c r="C8" s="6" t="s">
        <v>19</v>
      </c>
      <c r="D8" s="7">
        <f>D4</f>
        <v>60.28</v>
      </c>
    </row>
    <row r="9" ht="25.5" customHeight="1">
      <c r="A9" s="4" t="s">
        <v>20</v>
      </c>
      <c r="B9" s="8"/>
      <c r="C9" s="6" t="s">
        <v>21</v>
      </c>
      <c r="D9" s="7">
        <f>D4</f>
        <v>60.28</v>
      </c>
    </row>
    <row r="10" ht="25.5" customHeight="1">
      <c r="A10" s="4" t="s">
        <v>22</v>
      </c>
      <c r="B10" s="8"/>
      <c r="C10" s="6" t="s">
        <v>23</v>
      </c>
      <c r="D10" s="7">
        <f>D4</f>
        <v>60.28</v>
      </c>
    </row>
    <row r="11" ht="25.5" customHeight="1">
      <c r="A11" s="4" t="s">
        <v>24</v>
      </c>
      <c r="B11" s="8"/>
      <c r="C11" s="6" t="s">
        <v>25</v>
      </c>
      <c r="D11" s="7">
        <f>D4</f>
        <v>60.28</v>
      </c>
    </row>
    <row r="12" ht="25.5" customHeight="1">
      <c r="A12" s="4" t="s">
        <v>26</v>
      </c>
      <c r="B12" s="8"/>
      <c r="C12" s="6" t="s">
        <v>27</v>
      </c>
      <c r="D12" s="7">
        <f>D4</f>
        <v>60.28</v>
      </c>
    </row>
    <row r="13" ht="25.5" customHeight="1">
      <c r="A13" s="4" t="s">
        <v>28</v>
      </c>
      <c r="B13" s="8"/>
      <c r="C13" s="6" t="s">
        <v>29</v>
      </c>
      <c r="D13" s="7">
        <f>D4</f>
        <v>60.28</v>
      </c>
    </row>
    <row r="14" ht="25.5" customHeight="1">
      <c r="A14" s="4" t="s">
        <v>30</v>
      </c>
      <c r="B14" s="8"/>
      <c r="C14" s="6" t="s">
        <v>31</v>
      </c>
      <c r="D14" s="7">
        <f>D4</f>
        <v>60.28</v>
      </c>
    </row>
    <row r="15" ht="25.5" customHeight="1">
      <c r="A15" s="4" t="s">
        <v>32</v>
      </c>
      <c r="B15" s="8"/>
      <c r="C15" s="6" t="s">
        <v>33</v>
      </c>
      <c r="D15" s="7">
        <f>D4</f>
        <v>60.28</v>
      </c>
    </row>
    <row r="16" ht="25.5" customHeight="1">
      <c r="A16" s="4" t="s">
        <v>34</v>
      </c>
      <c r="B16" s="8"/>
      <c r="C16" s="6" t="s">
        <v>35</v>
      </c>
      <c r="D16" s="7">
        <f>D4</f>
        <v>60.28</v>
      </c>
    </row>
    <row r="17" ht="25.5" customHeight="1">
      <c r="A17" s="4" t="s">
        <v>36</v>
      </c>
      <c r="B17" s="8"/>
      <c r="C17" s="6" t="s">
        <v>37</v>
      </c>
      <c r="D17" s="7">
        <f>D4</f>
        <v>60.28</v>
      </c>
    </row>
    <row r="18" ht="25.5" customHeight="1">
      <c r="A18" s="4" t="s">
        <v>38</v>
      </c>
      <c r="B18" s="8"/>
      <c r="C18" s="6" t="s">
        <v>39</v>
      </c>
      <c r="D18" s="7">
        <f>D4</f>
        <v>60.28</v>
      </c>
    </row>
    <row r="19" ht="25.5" customHeight="1">
      <c r="A19" s="4" t="s">
        <v>40</v>
      </c>
      <c r="B19" s="8"/>
      <c r="C19" s="6" t="s">
        <v>41</v>
      </c>
      <c r="D19" s="7">
        <f>D4</f>
        <v>60.28</v>
      </c>
    </row>
    <row r="20" ht="25.5" customHeight="1">
      <c r="A20" s="4" t="s">
        <v>42</v>
      </c>
      <c r="B20" s="8"/>
      <c r="C20" s="6" t="s">
        <v>43</v>
      </c>
      <c r="D20" s="7">
        <f>D4</f>
        <v>60.28</v>
      </c>
    </row>
    <row r="21" ht="25.5" customHeight="1">
      <c r="A21" s="4" t="s">
        <v>44</v>
      </c>
      <c r="B21" s="8"/>
      <c r="C21" s="6" t="s">
        <v>45</v>
      </c>
      <c r="D21" s="7">
        <f>D4</f>
        <v>60.28</v>
      </c>
    </row>
    <row r="22" ht="25.5" customHeight="1">
      <c r="A22" s="4" t="s">
        <v>46</v>
      </c>
      <c r="B22" s="8"/>
      <c r="C22" s="6" t="s">
        <v>47</v>
      </c>
      <c r="D22" s="7">
        <f>D4</f>
        <v>60.28</v>
      </c>
    </row>
    <row r="23" ht="25.5" customHeight="1">
      <c r="A23" s="4" t="s">
        <v>48</v>
      </c>
      <c r="B23" s="8"/>
      <c r="C23" s="6" t="s">
        <v>49</v>
      </c>
      <c r="D23" s="7">
        <f>D4</f>
        <v>60.28</v>
      </c>
    </row>
    <row r="24" ht="25.5" customHeight="1">
      <c r="A24" s="4" t="s">
        <v>50</v>
      </c>
      <c r="B24" s="8"/>
      <c r="C24" s="6" t="s">
        <v>51</v>
      </c>
      <c r="D24" s="7">
        <f>D4</f>
        <v>60.28</v>
      </c>
    </row>
    <row r="25" ht="25.5" customHeight="1">
      <c r="A25" s="4" t="s">
        <v>52</v>
      </c>
      <c r="B25" s="8"/>
      <c r="C25" s="6" t="s">
        <v>53</v>
      </c>
      <c r="D25" s="7">
        <f>D4</f>
        <v>60.28</v>
      </c>
    </row>
    <row r="26" ht="25.5" customHeight="1">
      <c r="A26" s="4" t="s">
        <v>54</v>
      </c>
      <c r="B26" s="8"/>
      <c r="C26" s="6" t="s">
        <v>55</v>
      </c>
      <c r="D26" s="7">
        <f>D4</f>
        <v>60.28</v>
      </c>
    </row>
    <row r="27" ht="25.5" customHeight="1">
      <c r="A27" s="4" t="s">
        <v>56</v>
      </c>
      <c r="B27" s="8"/>
      <c r="C27" s="6" t="s">
        <v>57</v>
      </c>
      <c r="D27" s="7">
        <f>D4</f>
        <v>60.28</v>
      </c>
    </row>
    <row r="28" ht="25.5" customHeight="1">
      <c r="A28" s="4" t="s">
        <v>58</v>
      </c>
      <c r="B28" s="8"/>
      <c r="C28" s="6" t="s">
        <v>59</v>
      </c>
      <c r="D28" s="7">
        <f>D4</f>
        <v>60.28</v>
      </c>
    </row>
    <row r="29" ht="25.5" customHeight="1">
      <c r="A29" s="4" t="s">
        <v>60</v>
      </c>
      <c r="B29" s="8"/>
      <c r="C29" s="6" t="s">
        <v>61</v>
      </c>
      <c r="D29" s="7">
        <f>D4</f>
        <v>60.28</v>
      </c>
    </row>
    <row r="30" ht="25.5" customHeight="1">
      <c r="A30" s="4" t="s">
        <v>62</v>
      </c>
      <c r="B30" s="8"/>
      <c r="C30" s="6" t="s">
        <v>63</v>
      </c>
      <c r="D30" s="7">
        <f>D4</f>
        <v>60.28</v>
      </c>
    </row>
    <row r="31" ht="25.5" customHeight="1">
      <c r="A31" s="4" t="s">
        <v>64</v>
      </c>
      <c r="B31" s="11"/>
      <c r="C31" s="6" t="s">
        <v>65</v>
      </c>
      <c r="D31" s="7">
        <f>D4</f>
        <v>60.28</v>
      </c>
    </row>
    <row r="32" ht="25.5" customHeight="1">
      <c r="A32" s="4" t="s">
        <v>66</v>
      </c>
      <c r="B32" s="5" t="s">
        <v>67</v>
      </c>
      <c r="C32" s="6" t="s">
        <v>68</v>
      </c>
      <c r="D32" s="7">
        <f>D68+(((D33-D68)/10)*3)</f>
        <v>86.4348</v>
      </c>
    </row>
    <row r="33" ht="25.5" customHeight="1">
      <c r="A33" s="4" t="s">
        <v>69</v>
      </c>
      <c r="B33" s="8"/>
      <c r="C33" s="6" t="s">
        <v>70</v>
      </c>
      <c r="D33" s="12">
        <f>D1549+(((D342-D1549)/10)*2)</f>
        <v>165.756</v>
      </c>
    </row>
    <row r="34" ht="25.5" customHeight="1">
      <c r="A34" s="4" t="s">
        <v>71</v>
      </c>
      <c r="B34" s="8"/>
      <c r="C34" s="6" t="s">
        <v>72</v>
      </c>
      <c r="D34" s="7">
        <f>AVERAGE(D86,D37,D88)</f>
        <v>89.53902778</v>
      </c>
    </row>
    <row r="35" ht="25.5" customHeight="1">
      <c r="A35" s="4" t="s">
        <v>73</v>
      </c>
      <c r="B35" s="8"/>
      <c r="C35" s="6" t="s">
        <v>74</v>
      </c>
      <c r="D35" s="7">
        <f>AVERAGE(D42,D89,D94)</f>
        <v>65.7209099</v>
      </c>
    </row>
    <row r="36" ht="25.5" customHeight="1">
      <c r="A36" s="4" t="s">
        <v>75</v>
      </c>
      <c r="B36" s="8"/>
      <c r="C36" s="6" t="s">
        <v>76</v>
      </c>
      <c r="D36" s="12">
        <f>D1052+(((D68-D1052)/19)*19)</f>
        <v>52.44</v>
      </c>
    </row>
    <row r="37" ht="25.5" customHeight="1">
      <c r="A37" s="4" t="s">
        <v>77</v>
      </c>
      <c r="B37" s="8"/>
      <c r="C37" s="6" t="s">
        <v>78</v>
      </c>
      <c r="D37" s="7">
        <f>AVERAGE(D82,D75)</f>
        <v>98.74325</v>
      </c>
    </row>
    <row r="38" ht="25.5" customHeight="1">
      <c r="A38" s="4" t="s">
        <v>79</v>
      </c>
      <c r="B38" s="8"/>
      <c r="C38" s="6" t="s">
        <v>80</v>
      </c>
      <c r="D38" s="7">
        <f>D68+(((D33-D68)/10)*7)</f>
        <v>131.7612</v>
      </c>
    </row>
    <row r="39" ht="25.5" customHeight="1">
      <c r="A39" s="4" t="s">
        <v>81</v>
      </c>
      <c r="B39" s="8"/>
      <c r="C39" s="6" t="s">
        <v>82</v>
      </c>
      <c r="D39" s="7">
        <f>D90+(((D423-D90)/7)*2)</f>
        <v>35.63414286</v>
      </c>
    </row>
    <row r="40" ht="25.5" customHeight="1">
      <c r="A40" s="4" t="s">
        <v>83</v>
      </c>
      <c r="B40" s="8"/>
      <c r="C40" s="6" t="s">
        <v>84</v>
      </c>
      <c r="D40" s="7">
        <f>D531+(((D82-D531)/4)*1)</f>
        <v>46.9695</v>
      </c>
    </row>
    <row r="41" ht="25.5" customHeight="1">
      <c r="A41" s="4" t="s">
        <v>85</v>
      </c>
      <c r="B41" s="8"/>
      <c r="C41" s="6" t="s">
        <v>86</v>
      </c>
      <c r="D41" s="7">
        <f>D56</f>
        <v>25.1514</v>
      </c>
    </row>
    <row r="42" ht="25.5" customHeight="1">
      <c r="A42" s="4" t="s">
        <v>87</v>
      </c>
      <c r="B42" s="8"/>
      <c r="C42" s="6" t="s">
        <v>88</v>
      </c>
      <c r="D42" s="7">
        <f>D68+(((D33-D68)/10)*2)</f>
        <v>75.1032</v>
      </c>
    </row>
    <row r="43" ht="25.5" customHeight="1">
      <c r="A43" s="4" t="s">
        <v>89</v>
      </c>
      <c r="B43" s="8"/>
      <c r="C43" s="6" t="s">
        <v>90</v>
      </c>
      <c r="D43" s="7">
        <f>AVERAGE(D91,D1557,D1531)</f>
        <v>77.14399368</v>
      </c>
    </row>
    <row r="44" ht="25.5" customHeight="1">
      <c r="A44" s="4" t="s">
        <v>91</v>
      </c>
      <c r="B44" s="8"/>
      <c r="C44" s="6" t="s">
        <v>92</v>
      </c>
      <c r="D44" s="7">
        <f>D33</f>
        <v>165.756</v>
      </c>
    </row>
    <row r="45" ht="25.5" customHeight="1">
      <c r="A45" s="4" t="s">
        <v>93</v>
      </c>
      <c r="B45" s="8"/>
      <c r="C45" s="6" t="s">
        <v>94</v>
      </c>
      <c r="D45" s="7">
        <f>AVERAGE(D92,D46)</f>
        <v>35.63414286</v>
      </c>
    </row>
    <row r="46" ht="25.5" customHeight="1">
      <c r="A46" s="4" t="s">
        <v>95</v>
      </c>
      <c r="B46" s="8"/>
      <c r="C46" s="6" t="s">
        <v>96</v>
      </c>
      <c r="D46" s="7">
        <f>D90+(((D423-D90)/7)*3)</f>
        <v>31.77931429</v>
      </c>
    </row>
    <row r="47" ht="25.5" customHeight="1">
      <c r="A47" s="4" t="s">
        <v>97</v>
      </c>
      <c r="B47" s="8"/>
      <c r="C47" s="6" t="s">
        <v>98</v>
      </c>
      <c r="D47" s="7">
        <f>AVERAGE(D62,D51,D52,D86)</f>
        <v>118.75922</v>
      </c>
    </row>
    <row r="48" ht="25.5" customHeight="1">
      <c r="A48" s="4" t="s">
        <v>99</v>
      </c>
      <c r="B48" s="8"/>
      <c r="C48" s="6" t="s">
        <v>100</v>
      </c>
      <c r="D48" s="7">
        <f>AVERAGE(D71,D70)</f>
        <v>44.85</v>
      </c>
    </row>
    <row r="49" ht="25.5" customHeight="1">
      <c r="A49" s="4" t="s">
        <v>101</v>
      </c>
      <c r="B49" s="8"/>
      <c r="C49" s="6" t="s">
        <v>102</v>
      </c>
      <c r="D49" s="7">
        <f>D68+(((D33-D68)/10)*8)</f>
        <v>143.0928</v>
      </c>
    </row>
    <row r="50" ht="25.5" customHeight="1">
      <c r="A50" s="4" t="s">
        <v>103</v>
      </c>
      <c r="B50" s="8"/>
      <c r="C50" s="6" t="s">
        <v>104</v>
      </c>
      <c r="D50" s="7">
        <f>AVERAGE(D92,D89,D42,D57)</f>
        <v>69.03254286</v>
      </c>
    </row>
    <row r="51" ht="25.5" customHeight="1">
      <c r="A51" s="4" t="s">
        <v>105</v>
      </c>
      <c r="B51" s="8"/>
      <c r="C51" s="6" t="s">
        <v>106</v>
      </c>
      <c r="D51" s="7">
        <f>AVERAGE(D389,D369,D58,D49,D38)</f>
        <v>134.97728</v>
      </c>
    </row>
    <row r="52" ht="25.5" customHeight="1">
      <c r="A52" s="4" t="s">
        <v>107</v>
      </c>
      <c r="B52" s="8"/>
      <c r="C52" s="6" t="s">
        <v>108</v>
      </c>
      <c r="D52" s="7">
        <f>AVERAGE(D38,D74,D82)</f>
        <v>120.4296</v>
      </c>
    </row>
    <row r="53" ht="25.5" customHeight="1">
      <c r="A53" s="4" t="s">
        <v>109</v>
      </c>
      <c r="B53" s="8"/>
      <c r="C53" s="6" t="s">
        <v>110</v>
      </c>
      <c r="D53" s="12">
        <f>D1052+(((D68-D1052)/19)*18)</f>
        <v>49.68</v>
      </c>
    </row>
    <row r="54" ht="25.5" customHeight="1">
      <c r="A54" s="4" t="s">
        <v>111</v>
      </c>
      <c r="B54" s="8"/>
      <c r="C54" s="6" t="s">
        <v>112</v>
      </c>
      <c r="D54" s="7">
        <f>AVERAGE(D66,D62)</f>
        <v>95.192</v>
      </c>
    </row>
    <row r="55" ht="25.5" customHeight="1">
      <c r="A55" s="4" t="s">
        <v>113</v>
      </c>
      <c r="B55" s="8"/>
      <c r="C55" s="6" t="s">
        <v>114</v>
      </c>
      <c r="D55" s="7">
        <f>AVERAGE(D74,D32,D42)</f>
        <v>93.9892</v>
      </c>
    </row>
    <row r="56" ht="25.5" customHeight="1">
      <c r="A56" s="4" t="s">
        <v>115</v>
      </c>
      <c r="B56" s="8"/>
      <c r="C56" s="6" t="s">
        <v>116</v>
      </c>
      <c r="D56" s="7">
        <f>D2464+(((D68-D2464)/5)*2)</f>
        <v>25.1514</v>
      </c>
    </row>
    <row r="57" ht="25.5" customHeight="1">
      <c r="A57" s="4" t="s">
        <v>117</v>
      </c>
      <c r="B57" s="8"/>
      <c r="C57" s="6" t="s">
        <v>118</v>
      </c>
      <c r="D57" s="7">
        <f>D68+(((D33-D68)/10)*4)</f>
        <v>97.7664</v>
      </c>
    </row>
    <row r="58" ht="25.5" customHeight="1">
      <c r="A58" s="4" t="s">
        <v>119</v>
      </c>
      <c r="B58" s="8"/>
      <c r="C58" s="6" t="s">
        <v>120</v>
      </c>
      <c r="D58" s="7">
        <f>D68+(((D33-D68)/10)*9)</f>
        <v>154.4244</v>
      </c>
    </row>
    <row r="59" ht="25.5" customHeight="1">
      <c r="A59" s="4" t="s">
        <v>121</v>
      </c>
      <c r="B59" s="8"/>
      <c r="C59" s="6" t="s">
        <v>122</v>
      </c>
      <c r="D59" s="7">
        <f>D2464+(((D68-D2464)/5)*3)</f>
        <v>34.2476</v>
      </c>
    </row>
    <row r="60" ht="25.5" customHeight="1">
      <c r="A60" s="4" t="s">
        <v>123</v>
      </c>
      <c r="B60" s="8"/>
      <c r="C60" s="6" t="s">
        <v>124</v>
      </c>
      <c r="D60" s="7">
        <f>D94</f>
        <v>58.28792969</v>
      </c>
    </row>
    <row r="61" ht="25.5" customHeight="1">
      <c r="A61" s="4" t="s">
        <v>125</v>
      </c>
      <c r="B61" s="8"/>
      <c r="C61" s="6" t="s">
        <v>126</v>
      </c>
      <c r="D61" s="7">
        <f>AVERAGE(D98,D71)</f>
        <v>47.61</v>
      </c>
    </row>
    <row r="62" ht="25.5" customHeight="1">
      <c r="A62" s="4" t="s">
        <v>127</v>
      </c>
      <c r="B62" s="8"/>
      <c r="C62" s="6" t="s">
        <v>128</v>
      </c>
      <c r="D62" s="7">
        <f>AVERAGE(D352,D389)</f>
        <v>110.532</v>
      </c>
    </row>
    <row r="63" ht="25.5" customHeight="1">
      <c r="A63" s="4" t="s">
        <v>129</v>
      </c>
      <c r="B63" s="8"/>
      <c r="C63" s="6" t="s">
        <v>130</v>
      </c>
      <c r="D63" s="7">
        <f>D68+(((D1544-D68)/8)*2)</f>
        <v>64.13585938</v>
      </c>
    </row>
    <row r="64" ht="25.5" customHeight="1">
      <c r="A64" s="4" t="s">
        <v>131</v>
      </c>
      <c r="B64" s="8"/>
      <c r="C64" s="6" t="s">
        <v>132</v>
      </c>
      <c r="D64" s="7">
        <f>AVERAGE(D94,D63)</f>
        <v>61.21189453</v>
      </c>
    </row>
    <row r="65" ht="25.5" customHeight="1">
      <c r="A65" s="4" t="s">
        <v>133</v>
      </c>
      <c r="B65" s="8"/>
      <c r="C65" s="6" t="s">
        <v>134</v>
      </c>
      <c r="D65" s="7">
        <f>D66</f>
        <v>79.852</v>
      </c>
    </row>
    <row r="66" ht="25.5" customHeight="1">
      <c r="A66" s="4" t="s">
        <v>135</v>
      </c>
      <c r="B66" s="8"/>
      <c r="C66" s="6" t="s">
        <v>136</v>
      </c>
      <c r="D66" s="7">
        <f>D354</f>
        <v>79.852</v>
      </c>
    </row>
    <row r="67" ht="25.5" customHeight="1">
      <c r="A67" s="4" t="s">
        <v>137</v>
      </c>
      <c r="B67" s="8"/>
      <c r="C67" s="6" t="s">
        <v>138</v>
      </c>
      <c r="D67" s="7">
        <f>AVERAGE(D76,D56,D431,D2487)</f>
        <v>25.16107</v>
      </c>
    </row>
    <row r="68" ht="25.5" customHeight="1">
      <c r="A68" s="4" t="s">
        <v>139</v>
      </c>
      <c r="B68" s="8"/>
      <c r="C68" s="9" t="s">
        <v>140</v>
      </c>
      <c r="D68" s="7">
        <v>52.44</v>
      </c>
      <c r="E68" s="10" t="s">
        <v>141</v>
      </c>
    </row>
    <row r="69" ht="25.5" customHeight="1">
      <c r="A69" s="4" t="s">
        <v>142</v>
      </c>
      <c r="B69" s="8"/>
      <c r="C69" s="6" t="s">
        <v>143</v>
      </c>
      <c r="D69" s="7">
        <f>AVERAGE(D85,D60)</f>
        <v>61.21189453</v>
      </c>
    </row>
    <row r="70" ht="25.5" customHeight="1">
      <c r="A70" s="4" t="s">
        <v>144</v>
      </c>
      <c r="B70" s="8"/>
      <c r="C70" s="6" t="s">
        <v>145</v>
      </c>
      <c r="D70" s="7">
        <f>D73</f>
        <v>44.16</v>
      </c>
    </row>
    <row r="71" ht="25.5" customHeight="1">
      <c r="A71" s="4" t="s">
        <v>146</v>
      </c>
      <c r="B71" s="8"/>
      <c r="C71" s="6" t="s">
        <v>147</v>
      </c>
      <c r="D71" s="7">
        <f>AVERAGE(D83,D73)</f>
        <v>45.54</v>
      </c>
    </row>
    <row r="72" ht="25.5" customHeight="1">
      <c r="A72" s="4" t="s">
        <v>148</v>
      </c>
      <c r="B72" s="8"/>
      <c r="C72" s="6" t="s">
        <v>149</v>
      </c>
      <c r="D72" s="7">
        <f>D531+(((D82-D531)/4)*2)</f>
        <v>67.679</v>
      </c>
    </row>
    <row r="73" ht="25.5" customHeight="1">
      <c r="A73" s="4" t="s">
        <v>150</v>
      </c>
      <c r="B73" s="8"/>
      <c r="C73" s="6" t="s">
        <v>151</v>
      </c>
      <c r="D73" s="12">
        <f>D1052+(((D68-D1052)/19)*16)</f>
        <v>44.16</v>
      </c>
    </row>
    <row r="74" ht="25.5" customHeight="1">
      <c r="A74" s="4" t="s">
        <v>152</v>
      </c>
      <c r="B74" s="8"/>
      <c r="C74" s="6" t="s">
        <v>153</v>
      </c>
      <c r="D74" s="7">
        <f>D68+(((D33-D68)/10)*6)</f>
        <v>120.4296</v>
      </c>
    </row>
    <row r="75" ht="25.5" customHeight="1">
      <c r="A75" s="4" t="s">
        <v>154</v>
      </c>
      <c r="B75" s="8"/>
      <c r="C75" s="6" t="s">
        <v>155</v>
      </c>
      <c r="D75" s="7">
        <f>D531+(((D82-D531)/4)*3)</f>
        <v>88.3885</v>
      </c>
    </row>
    <row r="76" ht="25.5" customHeight="1">
      <c r="A76" s="4" t="s">
        <v>156</v>
      </c>
      <c r="B76" s="8"/>
      <c r="C76" s="6" t="s">
        <v>157</v>
      </c>
      <c r="D76" s="7">
        <f>D73</f>
        <v>44.16</v>
      </c>
    </row>
    <row r="77" ht="25.5" customHeight="1">
      <c r="A77" s="4" t="s">
        <v>158</v>
      </c>
      <c r="B77" s="8"/>
      <c r="C77" s="6" t="s">
        <v>159</v>
      </c>
      <c r="D77" s="7">
        <f>D91</f>
        <v>69.98378906</v>
      </c>
    </row>
    <row r="78" ht="25.5" customHeight="1">
      <c r="A78" s="4" t="s">
        <v>160</v>
      </c>
      <c r="B78" s="8"/>
      <c r="C78" s="6" t="s">
        <v>161</v>
      </c>
      <c r="D78" s="7">
        <f>AVERAGE(D60,D95,D98)</f>
        <v>53.81241319</v>
      </c>
    </row>
    <row r="79" ht="25.5" customHeight="1">
      <c r="A79" s="4" t="s">
        <v>162</v>
      </c>
      <c r="B79" s="8"/>
      <c r="C79" s="6" t="s">
        <v>163</v>
      </c>
      <c r="D79" s="7">
        <f>AVERAGE(D76,D83,D53,D36,D59,D56)</f>
        <v>42.09983333</v>
      </c>
    </row>
    <row r="80" ht="25.5" customHeight="1">
      <c r="A80" s="4" t="s">
        <v>164</v>
      </c>
      <c r="B80" s="8"/>
      <c r="C80" s="6" t="s">
        <v>165</v>
      </c>
      <c r="D80" s="12">
        <f>D1549+(((D342-D1549)/10)*1)</f>
        <v>178.028</v>
      </c>
    </row>
    <row r="81" ht="25.5" customHeight="1">
      <c r="A81" s="4" t="s">
        <v>166</v>
      </c>
      <c r="B81" s="8"/>
      <c r="C81" s="6" t="s">
        <v>167</v>
      </c>
      <c r="D81" s="7">
        <f>AVERAGE(D33,D58,D49,D38)</f>
        <v>148.7586</v>
      </c>
    </row>
    <row r="82" ht="25.5" customHeight="1">
      <c r="A82" s="4" t="s">
        <v>168</v>
      </c>
      <c r="B82" s="8"/>
      <c r="C82" s="6" t="s">
        <v>169</v>
      </c>
      <c r="D82" s="7">
        <f>D68+(((D33-D68)/10)*5)</f>
        <v>109.098</v>
      </c>
    </row>
    <row r="83" ht="25.5" customHeight="1">
      <c r="A83" s="4" t="s">
        <v>170</v>
      </c>
      <c r="B83" s="8"/>
      <c r="C83" s="6" t="s">
        <v>171</v>
      </c>
      <c r="D83" s="12">
        <f>D1052+(((D68-D1052)/19)*17)</f>
        <v>46.92</v>
      </c>
    </row>
    <row r="84" ht="25.5" customHeight="1">
      <c r="A84" s="4" t="s">
        <v>172</v>
      </c>
      <c r="B84" s="8"/>
      <c r="C84" s="6" t="s">
        <v>173</v>
      </c>
      <c r="D84" s="7">
        <f>D42</f>
        <v>75.1032</v>
      </c>
    </row>
    <row r="85" ht="25.5" customHeight="1">
      <c r="A85" s="4" t="s">
        <v>174</v>
      </c>
      <c r="B85" s="8"/>
      <c r="C85" s="6" t="s">
        <v>175</v>
      </c>
      <c r="D85" s="7">
        <f>AVERAGE(D91,D63,D94)</f>
        <v>64.13585938</v>
      </c>
    </row>
    <row r="86" ht="25.5" customHeight="1">
      <c r="A86" s="4" t="s">
        <v>176</v>
      </c>
      <c r="B86" s="8"/>
      <c r="C86" s="6" t="s">
        <v>177</v>
      </c>
      <c r="D86" s="7">
        <f>D82</f>
        <v>109.098</v>
      </c>
    </row>
    <row r="87" ht="25.5" customHeight="1">
      <c r="A87" s="4" t="s">
        <v>178</v>
      </c>
      <c r="B87" s="8"/>
      <c r="C87" s="6" t="s">
        <v>179</v>
      </c>
      <c r="D87" s="7">
        <f>AVERAGE(D46,D40,D412)</f>
        <v>34.27282381</v>
      </c>
    </row>
    <row r="88" ht="25.5" customHeight="1">
      <c r="A88" s="4" t="s">
        <v>180</v>
      </c>
      <c r="B88" s="8"/>
      <c r="C88" s="6" t="s">
        <v>181</v>
      </c>
      <c r="D88" s="7">
        <f>AVERAGE(D75,D72,D496)</f>
        <v>60.77583333</v>
      </c>
    </row>
    <row r="89" ht="25.5" customHeight="1">
      <c r="A89" s="4" t="s">
        <v>182</v>
      </c>
      <c r="B89" s="8"/>
      <c r="C89" s="6" t="s">
        <v>183</v>
      </c>
      <c r="D89" s="7">
        <f>D68+(((D33-D68)/10)*1)</f>
        <v>63.7716</v>
      </c>
    </row>
    <row r="90" ht="25.5" customHeight="1">
      <c r="A90" s="4" t="s">
        <v>184</v>
      </c>
      <c r="B90" s="8"/>
      <c r="C90" s="6" t="s">
        <v>185</v>
      </c>
      <c r="D90" s="7">
        <f>D2464+(((D68-D2464)/5)*4)</f>
        <v>43.3438</v>
      </c>
    </row>
    <row r="91" ht="25.5" customHeight="1">
      <c r="A91" s="4" t="s">
        <v>186</v>
      </c>
      <c r="B91" s="8"/>
      <c r="C91" s="6" t="s">
        <v>187</v>
      </c>
      <c r="D91" s="7">
        <f>D68+(((D1544-D68)/8)*3)</f>
        <v>69.98378906</v>
      </c>
    </row>
    <row r="92" ht="25.5" customHeight="1">
      <c r="A92" s="4" t="s">
        <v>188</v>
      </c>
      <c r="B92" s="8"/>
      <c r="C92" s="6" t="s">
        <v>189</v>
      </c>
      <c r="D92" s="7">
        <f>D90+(((D423-D90)/7)*1)</f>
        <v>39.48897143</v>
      </c>
    </row>
    <row r="93" ht="25.5" customHeight="1">
      <c r="A93" s="4" t="s">
        <v>190</v>
      </c>
      <c r="B93" s="8"/>
      <c r="C93" s="6" t="s">
        <v>191</v>
      </c>
      <c r="D93" s="7">
        <f>AVERAGE(D57,D75,D72,D40)</f>
        <v>75.20085</v>
      </c>
    </row>
    <row r="94" ht="25.5" customHeight="1">
      <c r="A94" s="4" t="s">
        <v>192</v>
      </c>
      <c r="B94" s="8"/>
      <c r="C94" s="6" t="s">
        <v>193</v>
      </c>
      <c r="D94" s="7">
        <f>D68+(((D1544-D68)/8)*1)</f>
        <v>58.28792969</v>
      </c>
    </row>
    <row r="95" ht="25.5" customHeight="1">
      <c r="A95" s="4" t="s">
        <v>194</v>
      </c>
      <c r="B95" s="8"/>
      <c r="C95" s="6" t="s">
        <v>195</v>
      </c>
      <c r="D95" s="7">
        <f>AVERAGE(D94,D68,D53)</f>
        <v>53.4693099</v>
      </c>
    </row>
    <row r="96" ht="25.5" customHeight="1">
      <c r="A96" s="4" t="s">
        <v>196</v>
      </c>
      <c r="B96" s="8"/>
      <c r="C96" s="6" t="s">
        <v>197</v>
      </c>
      <c r="D96" s="7">
        <f>D80</f>
        <v>178.028</v>
      </c>
    </row>
    <row r="97" ht="25.5" customHeight="1">
      <c r="A97" s="4" t="s">
        <v>198</v>
      </c>
      <c r="B97" s="8"/>
      <c r="C97" s="6" t="s">
        <v>199</v>
      </c>
      <c r="D97" s="7">
        <f>AVERAGE(D38,D74)</f>
        <v>126.0954</v>
      </c>
    </row>
    <row r="98" ht="25.5" customHeight="1">
      <c r="A98" s="4" t="s">
        <v>200</v>
      </c>
      <c r="B98" s="11"/>
      <c r="C98" s="6" t="s">
        <v>201</v>
      </c>
      <c r="D98" s="7">
        <f>D53</f>
        <v>49.68</v>
      </c>
    </row>
    <row r="99" ht="25.5" customHeight="1">
      <c r="A99" s="4" t="s">
        <v>202</v>
      </c>
      <c r="B99" s="5" t="s">
        <v>203</v>
      </c>
      <c r="C99" s="6" t="s">
        <v>204</v>
      </c>
      <c r="D99" s="7">
        <f>AVERAGE(D146,D157,D133)</f>
        <v>2.529384211</v>
      </c>
    </row>
    <row r="100" ht="25.5" customHeight="1">
      <c r="A100" s="4" t="s">
        <v>205</v>
      </c>
      <c r="B100" s="8"/>
      <c r="C100" s="6" t="s">
        <v>206</v>
      </c>
      <c r="D100" s="7">
        <f>D1150</f>
        <v>74.41757813</v>
      </c>
    </row>
    <row r="101" ht="25.5" customHeight="1">
      <c r="A101" s="4" t="s">
        <v>207</v>
      </c>
      <c r="B101" s="8"/>
      <c r="C101" s="6" t="s">
        <v>208</v>
      </c>
      <c r="D101" s="7">
        <f>AVERAGE(D167,D143,D1481)</f>
        <v>3.720949561</v>
      </c>
    </row>
    <row r="102" ht="25.5" customHeight="1">
      <c r="A102" s="4" t="s">
        <v>209</v>
      </c>
      <c r="B102" s="8"/>
      <c r="C102" s="6" t="s">
        <v>210</v>
      </c>
      <c r="D102" s="7">
        <f>D115</f>
        <v>7.961257895</v>
      </c>
    </row>
    <row r="103" ht="25.5" customHeight="1">
      <c r="A103" s="4" t="s">
        <v>211</v>
      </c>
      <c r="B103" s="8"/>
      <c r="C103" s="9" t="s">
        <v>212</v>
      </c>
      <c r="D103" s="7">
        <v>0.0</v>
      </c>
      <c r="E103" s="10" t="s">
        <v>213</v>
      </c>
    </row>
    <row r="104" ht="25.5" customHeight="1">
      <c r="A104" s="4" t="s">
        <v>214</v>
      </c>
      <c r="B104" s="8"/>
      <c r="C104" s="6" t="s">
        <v>215</v>
      </c>
      <c r="D104" s="7">
        <f>D111</f>
        <v>3.710226316</v>
      </c>
    </row>
    <row r="105" ht="25.5" customHeight="1">
      <c r="A105" s="4" t="s">
        <v>216</v>
      </c>
      <c r="B105" s="8"/>
      <c r="C105" s="6" t="s">
        <v>82</v>
      </c>
      <c r="D105" s="7">
        <f>AVERAGE(D111,D118,D150)</f>
        <v>7.174806883</v>
      </c>
    </row>
    <row r="106" ht="25.5" customHeight="1">
      <c r="A106" s="4" t="s">
        <v>217</v>
      </c>
      <c r="B106" s="8"/>
      <c r="C106" s="6" t="s">
        <v>218</v>
      </c>
      <c r="D106" s="7">
        <f>AVERAGE(D102,D103)</f>
        <v>3.980628947</v>
      </c>
    </row>
    <row r="107" ht="25.5" customHeight="1">
      <c r="A107" s="4" t="s">
        <v>219</v>
      </c>
      <c r="B107" s="8"/>
      <c r="C107" s="6" t="s">
        <v>220</v>
      </c>
      <c r="D107" s="7">
        <f>AVERAGE(D1178,D1134)</f>
        <v>81.50496652</v>
      </c>
    </row>
    <row r="108" ht="25.5" customHeight="1">
      <c r="A108" s="4" t="s">
        <v>221</v>
      </c>
      <c r="B108" s="8"/>
      <c r="C108" s="6" t="s">
        <v>222</v>
      </c>
      <c r="D108" s="12">
        <f>D2725+(((D158-D2725)/13)*10)</f>
        <v>8.907097166</v>
      </c>
    </row>
    <row r="109" ht="25.5" customHeight="1">
      <c r="A109" s="4" t="s">
        <v>223</v>
      </c>
      <c r="B109" s="8"/>
      <c r="C109" s="6" t="s">
        <v>94</v>
      </c>
      <c r="D109" s="7">
        <f>D1439</f>
        <v>0.5031</v>
      </c>
    </row>
    <row r="110" ht="25.5" customHeight="1">
      <c r="A110" s="4" t="s">
        <v>224</v>
      </c>
      <c r="B110" s="8"/>
      <c r="C110" s="6" t="s">
        <v>96</v>
      </c>
      <c r="D110" s="7">
        <f>D121</f>
        <v>4.418731579</v>
      </c>
    </row>
    <row r="111" ht="25.5" customHeight="1">
      <c r="A111" s="4" t="s">
        <v>225</v>
      </c>
      <c r="B111" s="8"/>
      <c r="C111" s="6" t="s">
        <v>226</v>
      </c>
      <c r="D111" s="7">
        <f>D133</f>
        <v>3.710226316</v>
      </c>
    </row>
    <row r="112" ht="25.5" customHeight="1">
      <c r="A112" s="4" t="s">
        <v>227</v>
      </c>
      <c r="B112" s="8"/>
      <c r="C112" s="6" t="s">
        <v>228</v>
      </c>
      <c r="D112" s="7">
        <f>AVERAGE(D148,D1176)</f>
        <v>30.1255531</v>
      </c>
    </row>
    <row r="113" ht="25.5" customHeight="1">
      <c r="A113" s="4" t="s">
        <v>229</v>
      </c>
      <c r="B113" s="8"/>
      <c r="C113" s="6" t="s">
        <v>230</v>
      </c>
      <c r="D113" s="12">
        <f>D2189+(((D116-D2189)/19)*12)</f>
        <v>5.127236842</v>
      </c>
    </row>
    <row r="114" ht="25.5" customHeight="1">
      <c r="A114" s="4" t="s">
        <v>231</v>
      </c>
      <c r="B114" s="8"/>
      <c r="C114" s="6" t="s">
        <v>232</v>
      </c>
      <c r="D114" s="7">
        <f>D145</f>
        <v>0.3354</v>
      </c>
    </row>
    <row r="115" ht="25.5" customHeight="1">
      <c r="A115" s="4" t="s">
        <v>233</v>
      </c>
      <c r="B115" s="8"/>
      <c r="C115" s="6" t="s">
        <v>234</v>
      </c>
      <c r="D115" s="12">
        <f>D2189+(((D116-D2189)/19)*8)</f>
        <v>7.961257895</v>
      </c>
    </row>
    <row r="116" ht="25.5" customHeight="1">
      <c r="A116" s="4" t="s">
        <v>235</v>
      </c>
      <c r="B116" s="8"/>
      <c r="C116" s="6" t="s">
        <v>236</v>
      </c>
      <c r="D116" s="7">
        <f>D720+(((D2510-D720)/20)*19)</f>
        <v>0.1677</v>
      </c>
    </row>
    <row r="117" ht="25.5" customHeight="1">
      <c r="A117" s="4" t="s">
        <v>237</v>
      </c>
      <c r="B117" s="8"/>
      <c r="C117" s="6" t="s">
        <v>238</v>
      </c>
      <c r="D117" s="7">
        <f>AVERAGE(D116,D166)</f>
        <v>0.5219526316</v>
      </c>
    </row>
    <row r="118" ht="25.5" customHeight="1">
      <c r="A118" s="4" t="s">
        <v>239</v>
      </c>
      <c r="B118" s="8"/>
      <c r="C118" s="6" t="s">
        <v>114</v>
      </c>
      <c r="D118" s="7">
        <f>AVERAGE(D128,D108)</f>
        <v>8.040952024</v>
      </c>
    </row>
    <row r="119" ht="25.5" customHeight="1">
      <c r="A119" s="4" t="s">
        <v>240</v>
      </c>
      <c r="B119" s="8"/>
      <c r="C119" s="6" t="s">
        <v>241</v>
      </c>
      <c r="D119" s="7">
        <f>AVERAGE(D152,D99,D138)</f>
        <v>2.608107018</v>
      </c>
    </row>
    <row r="120" ht="25.5" customHeight="1">
      <c r="A120" s="4" t="s">
        <v>242</v>
      </c>
      <c r="B120" s="8"/>
      <c r="C120" s="6" t="s">
        <v>243</v>
      </c>
      <c r="D120" s="7">
        <f>AVERAGE(D138,D111)</f>
        <v>3.710226316</v>
      </c>
    </row>
    <row r="121" ht="25.5" customHeight="1">
      <c r="A121" s="4" t="s">
        <v>244</v>
      </c>
      <c r="B121" s="8"/>
      <c r="C121" s="6" t="s">
        <v>245</v>
      </c>
      <c r="D121" s="12">
        <f>D2189+(((D116-D2189)/19)*13)</f>
        <v>4.418731579</v>
      </c>
    </row>
    <row r="122" ht="25.5" customHeight="1">
      <c r="A122" s="4" t="s">
        <v>246</v>
      </c>
      <c r="B122" s="8"/>
      <c r="C122" s="6" t="s">
        <v>126</v>
      </c>
      <c r="D122" s="12">
        <f>D2189+(((D116-D2189)/19)*9)</f>
        <v>7.252752632</v>
      </c>
    </row>
    <row r="123" ht="25.5" customHeight="1">
      <c r="A123" s="4" t="s">
        <v>247</v>
      </c>
      <c r="B123" s="8"/>
      <c r="C123" s="6" t="s">
        <v>248</v>
      </c>
      <c r="D123" s="7">
        <f>D1450</f>
        <v>4.875966667</v>
      </c>
    </row>
    <row r="124" ht="25.5" customHeight="1">
      <c r="A124" s="4" t="s">
        <v>249</v>
      </c>
      <c r="B124" s="8"/>
      <c r="C124" s="6" t="s">
        <v>250</v>
      </c>
      <c r="D124" s="7">
        <f>AVERAGE(D128,D160)</f>
        <v>6.308661741</v>
      </c>
    </row>
    <row r="125" ht="25.5" customHeight="1">
      <c r="A125" s="4" t="s">
        <v>251</v>
      </c>
      <c r="B125" s="8"/>
      <c r="C125" s="6" t="s">
        <v>252</v>
      </c>
      <c r="D125" s="7">
        <f>AVERAGE(D133,D160,D128)</f>
        <v>5.442516599</v>
      </c>
    </row>
    <row r="126" ht="25.5" customHeight="1">
      <c r="A126" s="4" t="s">
        <v>253</v>
      </c>
      <c r="B126" s="8"/>
      <c r="C126" s="6" t="s">
        <v>130</v>
      </c>
      <c r="D126" s="7">
        <f>AVERAGE(D1439,D114)</f>
        <v>0.41925</v>
      </c>
    </row>
    <row r="127" ht="25.5" customHeight="1">
      <c r="A127" s="4" t="s">
        <v>254</v>
      </c>
      <c r="B127" s="8"/>
      <c r="C127" s="6" t="s">
        <v>255</v>
      </c>
      <c r="D127" s="12">
        <f>D2725+(((D158-D2725)/13)*8)</f>
        <v>12.37167773</v>
      </c>
    </row>
    <row r="128" ht="25.5" customHeight="1">
      <c r="A128" s="4" t="s">
        <v>256</v>
      </c>
      <c r="B128" s="8"/>
      <c r="C128" s="6" t="s">
        <v>257</v>
      </c>
      <c r="D128" s="12">
        <f>D2725+(((D158-D2725)/13)*11)</f>
        <v>7.174806883</v>
      </c>
    </row>
    <row r="129" ht="25.5" customHeight="1">
      <c r="A129" s="4" t="s">
        <v>258</v>
      </c>
      <c r="B129" s="8"/>
      <c r="C129" s="6" t="s">
        <v>259</v>
      </c>
      <c r="D129" s="7">
        <f>D127</f>
        <v>12.37167773</v>
      </c>
    </row>
    <row r="130" ht="25.5" customHeight="1">
      <c r="A130" s="4" t="s">
        <v>260</v>
      </c>
      <c r="B130" s="8"/>
      <c r="C130" s="6" t="s">
        <v>261</v>
      </c>
      <c r="D130" s="7">
        <f>AVERAGE(D171,D110)</f>
        <v>3.828310526</v>
      </c>
    </row>
    <row r="131" ht="25.5" customHeight="1">
      <c r="A131" s="4" t="s">
        <v>262</v>
      </c>
      <c r="B131" s="8"/>
      <c r="C131" s="6" t="s">
        <v>263</v>
      </c>
      <c r="D131" s="7">
        <f>AVERAGE(D130,D167)</f>
        <v>3.991461842</v>
      </c>
    </row>
    <row r="132" ht="25.5" customHeight="1">
      <c r="A132" s="4" t="s">
        <v>264</v>
      </c>
      <c r="B132" s="8"/>
      <c r="C132" s="6" t="s">
        <v>138</v>
      </c>
      <c r="D132" s="7">
        <f>AVERAGE(D114,D154,D117,D172,D171)</f>
        <v>1.186300526</v>
      </c>
    </row>
    <row r="133" ht="25.5" customHeight="1">
      <c r="A133" s="4" t="s">
        <v>265</v>
      </c>
      <c r="B133" s="8"/>
      <c r="C133" s="6" t="s">
        <v>140</v>
      </c>
      <c r="D133" s="7">
        <f>D158</f>
        <v>3.710226316</v>
      </c>
    </row>
    <row r="134" ht="25.5" customHeight="1">
      <c r="A134" s="4" t="s">
        <v>266</v>
      </c>
      <c r="B134" s="8"/>
      <c r="C134" s="6" t="s">
        <v>267</v>
      </c>
      <c r="D134" s="12">
        <f>D2189+(((D116-D2189)/19)*10)</f>
        <v>6.544247368</v>
      </c>
    </row>
    <row r="135" ht="25.5" customHeight="1">
      <c r="A135" s="4" t="s">
        <v>268</v>
      </c>
      <c r="B135" s="8"/>
      <c r="C135" s="6" t="s">
        <v>269</v>
      </c>
      <c r="D135" s="7">
        <f>AVERAGE(D148,D127,D144,D1124)</f>
        <v>19.90984089</v>
      </c>
    </row>
    <row r="136" ht="25.5" customHeight="1">
      <c r="A136" s="4" t="s">
        <v>270</v>
      </c>
      <c r="B136" s="8"/>
      <c r="C136" s="6" t="s">
        <v>147</v>
      </c>
      <c r="D136" s="7">
        <f>D114</f>
        <v>0.3354</v>
      </c>
    </row>
    <row r="137" ht="25.5" customHeight="1">
      <c r="A137" s="4" t="s">
        <v>271</v>
      </c>
      <c r="B137" s="8"/>
      <c r="C137" s="6" t="s">
        <v>149</v>
      </c>
      <c r="D137" s="7">
        <f>AVERAGE(D116,D166,D146)</f>
        <v>0.8762052632</v>
      </c>
    </row>
    <row r="138" ht="25.5" customHeight="1">
      <c r="A138" s="4" t="s">
        <v>272</v>
      </c>
      <c r="B138" s="8"/>
      <c r="C138" s="6" t="s">
        <v>273</v>
      </c>
      <c r="D138" s="7">
        <f>D133</f>
        <v>3.710226316</v>
      </c>
    </row>
    <row r="139" ht="25.5" customHeight="1">
      <c r="A139" s="4" t="s">
        <v>274</v>
      </c>
      <c r="B139" s="8"/>
      <c r="C139" s="6" t="s">
        <v>275</v>
      </c>
      <c r="D139" s="7">
        <f>AVERAGE(D2545,D144)</f>
        <v>14.97011316</v>
      </c>
    </row>
    <row r="140" ht="25.5" customHeight="1">
      <c r="A140" s="4" t="s">
        <v>276</v>
      </c>
      <c r="B140" s="8"/>
      <c r="C140" s="6" t="s">
        <v>277</v>
      </c>
      <c r="D140" s="7">
        <f>AVERAGE(D134,D122,D163)</f>
        <v>7.252752632</v>
      </c>
    </row>
    <row r="141" ht="25.5" customHeight="1">
      <c r="A141" s="4" t="s">
        <v>278</v>
      </c>
      <c r="B141" s="8"/>
      <c r="C141" s="6" t="s">
        <v>279</v>
      </c>
      <c r="D141" s="12">
        <f>D2189+(((D116-D2189)/19)*15)</f>
        <v>3.001721053</v>
      </c>
    </row>
    <row r="142" ht="25.5" customHeight="1">
      <c r="A142" s="4" t="s">
        <v>280</v>
      </c>
      <c r="B142" s="8"/>
      <c r="C142" s="6" t="s">
        <v>157</v>
      </c>
      <c r="D142" s="7">
        <f>AVERAGE(D134,D122,D115,D170,D102)</f>
        <v>7.536154737</v>
      </c>
    </row>
    <row r="143" ht="25.5" customHeight="1">
      <c r="A143" s="4" t="s">
        <v>281</v>
      </c>
      <c r="B143" s="8"/>
      <c r="C143" s="6" t="s">
        <v>161</v>
      </c>
      <c r="D143" s="7">
        <f>AVERAGE(D162,D103)</f>
        <v>1.458935526</v>
      </c>
    </row>
    <row r="144" ht="25.5" customHeight="1">
      <c r="A144" s="4" t="s">
        <v>282</v>
      </c>
      <c r="B144" s="8"/>
      <c r="C144" s="6" t="s">
        <v>283</v>
      </c>
      <c r="D144" s="12">
        <f>D2725+(((D158-D2725)/13)*7)</f>
        <v>14.10396802</v>
      </c>
    </row>
    <row r="145" ht="25.5" customHeight="1">
      <c r="A145" s="4" t="s">
        <v>284</v>
      </c>
      <c r="B145" s="8"/>
      <c r="C145" s="6" t="s">
        <v>285</v>
      </c>
      <c r="D145" s="7">
        <f>D720+(((D2510-D720)/20)*18)</f>
        <v>0.3354</v>
      </c>
    </row>
    <row r="146" ht="25.5" customHeight="1">
      <c r="A146" s="4" t="s">
        <v>286</v>
      </c>
      <c r="B146" s="8"/>
      <c r="C146" s="6" t="s">
        <v>167</v>
      </c>
      <c r="D146" s="12">
        <f>D2189+(((D116-D2189)/19)*17)</f>
        <v>1.584710526</v>
      </c>
    </row>
    <row r="147" ht="25.5" customHeight="1">
      <c r="A147" s="4" t="s">
        <v>287</v>
      </c>
      <c r="B147" s="8"/>
      <c r="C147" s="6" t="s">
        <v>169</v>
      </c>
      <c r="D147" s="7">
        <f>AVERAGE(D161,D173,D124,D153)</f>
        <v>7.59769914</v>
      </c>
    </row>
    <row r="148" ht="25.5" customHeight="1">
      <c r="A148" s="4" t="s">
        <v>288</v>
      </c>
      <c r="B148" s="8"/>
      <c r="C148" s="6" t="s">
        <v>289</v>
      </c>
      <c r="D148" s="12">
        <f>D2725+(((D158-D2725)/13)*9)</f>
        <v>10.63938745</v>
      </c>
    </row>
    <row r="149" ht="25.5" customHeight="1">
      <c r="A149" s="4" t="s">
        <v>290</v>
      </c>
      <c r="B149" s="8"/>
      <c r="C149" s="6" t="s">
        <v>291</v>
      </c>
      <c r="D149" s="7">
        <f>AVERAGE(D156,D134,D103)</f>
        <v>4.126663158</v>
      </c>
    </row>
    <row r="150" ht="25.5" customHeight="1">
      <c r="A150" s="4" t="s">
        <v>292</v>
      </c>
      <c r="B150" s="8"/>
      <c r="C150" s="6" t="s">
        <v>293</v>
      </c>
      <c r="D150" s="7">
        <f>AVERAGE(D108,D148)</f>
        <v>9.773242308</v>
      </c>
    </row>
    <row r="151" ht="25.5" customHeight="1">
      <c r="A151" s="4" t="s">
        <v>294</v>
      </c>
      <c r="B151" s="8"/>
      <c r="C151" s="6" t="s">
        <v>173</v>
      </c>
      <c r="D151" s="7">
        <f>AVERAGE(D160,D158,D121,D113)</f>
        <v>4.674677834</v>
      </c>
    </row>
    <row r="152" ht="25.5" customHeight="1">
      <c r="A152" s="4" t="s">
        <v>295</v>
      </c>
      <c r="B152" s="8"/>
      <c r="C152" s="6" t="s">
        <v>296</v>
      </c>
      <c r="D152" s="7">
        <f>D146</f>
        <v>1.584710526</v>
      </c>
    </row>
    <row r="153" ht="25.5" customHeight="1">
      <c r="A153" s="4" t="s">
        <v>297</v>
      </c>
      <c r="B153" s="8"/>
      <c r="C153" s="6" t="s">
        <v>177</v>
      </c>
      <c r="D153" s="7">
        <f>AVERAGE(D127,D148,D108)</f>
        <v>10.63938745</v>
      </c>
    </row>
    <row r="154" ht="25.5" customHeight="1">
      <c r="A154" s="4" t="s">
        <v>298</v>
      </c>
      <c r="B154" s="8"/>
      <c r="C154" s="6" t="s">
        <v>299</v>
      </c>
      <c r="D154" s="7">
        <f>AVERAGE(D145,D116)</f>
        <v>0.25155</v>
      </c>
    </row>
    <row r="155" ht="25.5" customHeight="1">
      <c r="A155" s="4" t="s">
        <v>300</v>
      </c>
      <c r="B155" s="8"/>
      <c r="C155" s="6" t="s">
        <v>301</v>
      </c>
      <c r="D155" s="7">
        <f>AVERAGE(D161,D129,D2174,D2182)</f>
        <v>11.12117611</v>
      </c>
    </row>
    <row r="156" ht="25.5" customHeight="1">
      <c r="A156" s="4" t="s">
        <v>302</v>
      </c>
      <c r="B156" s="8"/>
      <c r="C156" s="6" t="s">
        <v>303</v>
      </c>
      <c r="D156" s="12">
        <f>D2189+(((D116-D2189)/19)*11)</f>
        <v>5.835742105</v>
      </c>
    </row>
    <row r="157" ht="25.5" customHeight="1">
      <c r="A157" s="4" t="s">
        <v>304</v>
      </c>
      <c r="B157" s="8"/>
      <c r="C157" s="6" t="s">
        <v>305</v>
      </c>
      <c r="D157" s="12">
        <f>D2189+(((D116-D2189)/19)*16)</f>
        <v>2.293215789</v>
      </c>
    </row>
    <row r="158" ht="25.5" customHeight="1">
      <c r="A158" s="4" t="s">
        <v>306</v>
      </c>
      <c r="B158" s="8"/>
      <c r="C158" s="6" t="s">
        <v>307</v>
      </c>
      <c r="D158" s="12">
        <f>D2189+(((D116-D2189)/19)*14)</f>
        <v>3.710226316</v>
      </c>
    </row>
    <row r="159" ht="25.5" customHeight="1">
      <c r="A159" s="4" t="s">
        <v>308</v>
      </c>
      <c r="B159" s="8"/>
      <c r="C159" s="6" t="s">
        <v>179</v>
      </c>
      <c r="D159" s="7">
        <f>AVERAGE(D109,D126,D136)</f>
        <v>0.41925</v>
      </c>
    </row>
    <row r="160" ht="25.5" customHeight="1">
      <c r="A160" s="4" t="s">
        <v>309</v>
      </c>
      <c r="B160" s="8"/>
      <c r="C160" s="6" t="s">
        <v>310</v>
      </c>
      <c r="D160" s="12">
        <f>D2725+(((D158-D2725)/13)*12)</f>
        <v>5.442516599</v>
      </c>
    </row>
    <row r="161" ht="25.5" customHeight="1">
      <c r="A161" s="4" t="s">
        <v>311</v>
      </c>
      <c r="B161" s="8"/>
      <c r="C161" s="6" t="s">
        <v>312</v>
      </c>
      <c r="D161" s="7">
        <f>D163</f>
        <v>7.961257895</v>
      </c>
    </row>
    <row r="162" ht="25.5" customHeight="1">
      <c r="A162" s="4" t="s">
        <v>313</v>
      </c>
      <c r="B162" s="8"/>
      <c r="C162" s="6" t="s">
        <v>314</v>
      </c>
      <c r="D162" s="7">
        <f>AVERAGE(D156,D103)</f>
        <v>2.917871053</v>
      </c>
    </row>
    <row r="163" ht="25.5" customHeight="1">
      <c r="A163" s="4" t="s">
        <v>315</v>
      </c>
      <c r="B163" s="8"/>
      <c r="C163" s="6" t="s">
        <v>316</v>
      </c>
      <c r="D163" s="7">
        <f>D115</f>
        <v>7.961257895</v>
      </c>
    </row>
    <row r="164" ht="25.5" customHeight="1">
      <c r="A164" s="4" t="s">
        <v>317</v>
      </c>
      <c r="B164" s="8"/>
      <c r="C164" s="6" t="s">
        <v>318</v>
      </c>
      <c r="D164" s="7">
        <f>AVERAGE(D129,D139,D2182)</f>
        <v>14.39268306</v>
      </c>
    </row>
    <row r="165" ht="25.5" customHeight="1">
      <c r="A165" s="4" t="s">
        <v>319</v>
      </c>
      <c r="B165" s="8"/>
      <c r="C165" s="6" t="s">
        <v>320</v>
      </c>
      <c r="D165" s="7">
        <f>AVERAGE(D136,D130)</f>
        <v>2.081855263</v>
      </c>
    </row>
    <row r="166" ht="25.5" customHeight="1">
      <c r="A166" s="4" t="s">
        <v>321</v>
      </c>
      <c r="B166" s="8"/>
      <c r="C166" s="6" t="s">
        <v>322</v>
      </c>
      <c r="D166" s="12">
        <f>D2189+(((D116-D2189)/19)*18)</f>
        <v>0.8762052632</v>
      </c>
    </row>
    <row r="167" ht="25.5" customHeight="1">
      <c r="A167" s="4" t="s">
        <v>323</v>
      </c>
      <c r="B167" s="8"/>
      <c r="C167" s="6" t="s">
        <v>324</v>
      </c>
      <c r="D167" s="7">
        <f>AVERAGE(D110,D169,D162)</f>
        <v>4.154613158</v>
      </c>
    </row>
    <row r="168" ht="25.5" customHeight="1">
      <c r="A168" s="4" t="s">
        <v>325</v>
      </c>
      <c r="B168" s="8"/>
      <c r="C168" s="6" t="s">
        <v>326</v>
      </c>
      <c r="D168" s="7">
        <f>AVERAGE(D150,D112,D1130,D1172)</f>
        <v>40.98202307</v>
      </c>
    </row>
    <row r="169" ht="25.5" customHeight="1">
      <c r="A169" s="4" t="s">
        <v>327</v>
      </c>
      <c r="B169" s="8"/>
      <c r="C169" s="6" t="s">
        <v>328</v>
      </c>
      <c r="D169" s="7">
        <f>AVERAGE(D121,D113,D156)</f>
        <v>5.127236842</v>
      </c>
    </row>
    <row r="170" ht="25.5" customHeight="1">
      <c r="A170" s="4" t="s">
        <v>329</v>
      </c>
      <c r="B170" s="8"/>
      <c r="C170" s="6" t="s">
        <v>197</v>
      </c>
      <c r="D170" s="7">
        <f>D115</f>
        <v>7.961257895</v>
      </c>
    </row>
    <row r="171" ht="25.5" customHeight="1">
      <c r="A171" s="4" t="s">
        <v>330</v>
      </c>
      <c r="B171" s="8"/>
      <c r="C171" s="6" t="s">
        <v>331</v>
      </c>
      <c r="D171" s="7">
        <f>AVERAGE(D157,D141,D121)</f>
        <v>3.237889474</v>
      </c>
    </row>
    <row r="172" ht="25.5" customHeight="1">
      <c r="A172" s="4" t="s">
        <v>332</v>
      </c>
      <c r="B172" s="8"/>
      <c r="C172" s="6" t="s">
        <v>333</v>
      </c>
      <c r="D172" s="7">
        <f>AVERAGE(D166,D146,D157)</f>
        <v>1.584710526</v>
      </c>
    </row>
    <row r="173" ht="25.5" customHeight="1">
      <c r="A173" s="4" t="s">
        <v>334</v>
      </c>
      <c r="B173" s="11"/>
      <c r="C173" s="6" t="s">
        <v>335</v>
      </c>
      <c r="D173" s="7">
        <f>AVERAGE(D113,D156)</f>
        <v>5.481489474</v>
      </c>
    </row>
    <row r="174" ht="25.5" customHeight="1">
      <c r="A174" s="4" t="s">
        <v>336</v>
      </c>
      <c r="B174" s="5" t="s">
        <v>337</v>
      </c>
      <c r="C174" s="6" t="s">
        <v>338</v>
      </c>
      <c r="D174" s="7">
        <f>D224+(((D2714-D224)/13)*5)</f>
        <v>9.263076923</v>
      </c>
    </row>
    <row r="175" ht="25.5" customHeight="1">
      <c r="A175" s="4" t="s">
        <v>339</v>
      </c>
      <c r="B175" s="8"/>
      <c r="C175" s="6" t="s">
        <v>340</v>
      </c>
      <c r="D175" s="7">
        <f>D221+(((D2541-D221)/21)*5)</f>
        <v>3.639765568</v>
      </c>
    </row>
    <row r="176" ht="25.5" customHeight="1">
      <c r="A176" s="4" t="s">
        <v>341</v>
      </c>
      <c r="B176" s="8"/>
      <c r="C176" s="6" t="s">
        <v>342</v>
      </c>
      <c r="D176" s="7">
        <f>D224+(((D2714-D224)/13)*3)</f>
        <v>7.583846154</v>
      </c>
    </row>
    <row r="177" ht="25.5" customHeight="1">
      <c r="A177" s="4" t="s">
        <v>343</v>
      </c>
      <c r="B177" s="8"/>
      <c r="C177" s="6" t="s">
        <v>344</v>
      </c>
      <c r="D177" s="7">
        <f>AVERAGE(D183,D176,D187,D181,D185)</f>
        <v>5.954660806</v>
      </c>
    </row>
    <row r="178" ht="25.5" customHeight="1">
      <c r="A178" s="4" t="s">
        <v>345</v>
      </c>
      <c r="B178" s="8"/>
      <c r="C178" s="6" t="s">
        <v>346</v>
      </c>
      <c r="D178" s="7">
        <f>AVERAGE(D174,D183,D185,D184,D175)</f>
        <v>5.690235165</v>
      </c>
    </row>
    <row r="179" ht="25.5" customHeight="1">
      <c r="A179" s="4" t="s">
        <v>347</v>
      </c>
      <c r="B179" s="8"/>
      <c r="C179" s="6" t="s">
        <v>348</v>
      </c>
      <c r="D179" s="7">
        <f>AVERAGE(D174,D175,D1947,D1944)</f>
        <v>5.084258242</v>
      </c>
    </row>
    <row r="180" ht="25.5" customHeight="1">
      <c r="A180" s="4" t="s">
        <v>349</v>
      </c>
      <c r="B180" s="8"/>
      <c r="C180" s="6" t="s">
        <v>350</v>
      </c>
      <c r="D180" s="7">
        <f>D221+(((D2541-D221)/21)*1)</f>
        <v>3.433553114</v>
      </c>
    </row>
    <row r="181" ht="25.5" customHeight="1">
      <c r="A181" s="4" t="s">
        <v>351</v>
      </c>
      <c r="B181" s="8"/>
      <c r="C181" s="6" t="s">
        <v>352</v>
      </c>
      <c r="D181" s="7">
        <f>D221+(((D2541-D221)/21)*2)</f>
        <v>3.485106227</v>
      </c>
    </row>
    <row r="182" ht="25.5" customHeight="1">
      <c r="A182" s="4" t="s">
        <v>353</v>
      </c>
      <c r="B182" s="8"/>
      <c r="C182" s="6" t="s">
        <v>354</v>
      </c>
      <c r="D182" s="7">
        <f>D224+(((D2714-D224)/13)*1)</f>
        <v>5.904615385</v>
      </c>
    </row>
    <row r="183" ht="25.5" customHeight="1">
      <c r="A183" s="4" t="s">
        <v>355</v>
      </c>
      <c r="B183" s="8"/>
      <c r="C183" s="6" t="s">
        <v>356</v>
      </c>
      <c r="D183" s="7">
        <f>D224+(((D2714-D224)/13)*4)</f>
        <v>8.423461538</v>
      </c>
    </row>
    <row r="184" ht="25.5" customHeight="1">
      <c r="A184" s="4" t="s">
        <v>357</v>
      </c>
      <c r="B184" s="8"/>
      <c r="C184" s="6" t="s">
        <v>358</v>
      </c>
      <c r="D184" s="7">
        <f>D221+(((D2541-D221)/21)*4)</f>
        <v>3.588212454</v>
      </c>
    </row>
    <row r="185" ht="25.5" customHeight="1">
      <c r="A185" s="4" t="s">
        <v>359</v>
      </c>
      <c r="B185" s="8"/>
      <c r="C185" s="6" t="s">
        <v>360</v>
      </c>
      <c r="D185" s="7">
        <f>D221+(((D2541-D221)/21)*3)</f>
        <v>3.536659341</v>
      </c>
    </row>
    <row r="186" ht="25.5" customHeight="1">
      <c r="A186" s="4" t="s">
        <v>361</v>
      </c>
      <c r="B186" s="8"/>
      <c r="C186" s="6" t="s">
        <v>362</v>
      </c>
      <c r="D186" s="7">
        <f>D184</f>
        <v>3.588212454</v>
      </c>
    </row>
    <row r="187" ht="25.5" customHeight="1">
      <c r="A187" s="4" t="s">
        <v>363</v>
      </c>
      <c r="B187" s="8"/>
      <c r="C187" s="6" t="s">
        <v>364</v>
      </c>
      <c r="D187" s="7">
        <f>D224+(((D2714-D224)/13)*2)</f>
        <v>6.744230769</v>
      </c>
    </row>
    <row r="188" ht="25.5" customHeight="1">
      <c r="A188" s="4" t="s">
        <v>365</v>
      </c>
      <c r="B188" s="11"/>
      <c r="C188" s="6" t="s">
        <v>366</v>
      </c>
      <c r="D188" s="7">
        <f>D225+(((D181-D225)/3)*2)</f>
        <v>2.323404151</v>
      </c>
    </row>
    <row r="189" ht="25.5" customHeight="1">
      <c r="A189" s="4" t="s">
        <v>367</v>
      </c>
      <c r="B189" s="5" t="s">
        <v>368</v>
      </c>
      <c r="C189" s="9" t="s">
        <v>369</v>
      </c>
      <c r="D189" s="7">
        <v>43.23</v>
      </c>
      <c r="E189" s="10" t="s">
        <v>370</v>
      </c>
    </row>
    <row r="190" ht="25.5" customHeight="1">
      <c r="A190" s="4" t="s">
        <v>371</v>
      </c>
      <c r="B190" s="8"/>
      <c r="C190" s="6" t="s">
        <v>372</v>
      </c>
      <c r="D190" s="7">
        <f>AVERAGE(D197,D191,D193,D243,D214,D1971)</f>
        <v>8.650480769</v>
      </c>
    </row>
    <row r="191" ht="25.5" customHeight="1">
      <c r="A191" s="4" t="s">
        <v>373</v>
      </c>
      <c r="B191" s="8"/>
      <c r="C191" s="6" t="s">
        <v>374</v>
      </c>
      <c r="D191" s="7">
        <f>AVERAGE(D222,D227)</f>
        <v>10.64675</v>
      </c>
    </row>
    <row r="192" ht="25.5" customHeight="1">
      <c r="A192" s="4" t="s">
        <v>375</v>
      </c>
      <c r="B192" s="8"/>
      <c r="C192" s="6" t="s">
        <v>376</v>
      </c>
      <c r="D192" s="7">
        <f>AVERAGE(D240,D199,D194)</f>
        <v>2.592</v>
      </c>
    </row>
    <row r="193" ht="25.5" customHeight="1">
      <c r="A193" s="4" t="s">
        <v>377</v>
      </c>
      <c r="B193" s="8"/>
      <c r="C193" s="6" t="s">
        <v>378</v>
      </c>
      <c r="D193" s="7">
        <f>AVERAGE(D227,D238)</f>
        <v>5.26025</v>
      </c>
    </row>
    <row r="194" ht="25.5" customHeight="1">
      <c r="A194" s="4" t="s">
        <v>379</v>
      </c>
      <c r="B194" s="8"/>
      <c r="C194" s="6" t="s">
        <v>380</v>
      </c>
      <c r="D194" s="7">
        <f>D245+(((D2987-D245)/20)*1)</f>
        <v>2.736</v>
      </c>
    </row>
    <row r="195" ht="25.5" customHeight="1">
      <c r="A195" s="4" t="s">
        <v>381</v>
      </c>
      <c r="B195" s="8"/>
      <c r="C195" s="6" t="s">
        <v>382</v>
      </c>
      <c r="D195" s="7">
        <f>D236+((D189-D236)/2)</f>
        <v>26.256</v>
      </c>
    </row>
    <row r="196" ht="25.5" customHeight="1">
      <c r="A196" s="4" t="s">
        <v>383</v>
      </c>
      <c r="B196" s="8"/>
      <c r="C196" s="6" t="s">
        <v>384</v>
      </c>
      <c r="D196" s="7">
        <f>D235</f>
        <v>2.16</v>
      </c>
    </row>
    <row r="197" ht="25.5" customHeight="1">
      <c r="A197" s="4" t="s">
        <v>385</v>
      </c>
      <c r="B197" s="8"/>
      <c r="C197" s="6" t="s">
        <v>386</v>
      </c>
      <c r="D197" s="7">
        <f>AVERAGE(D219,D222)</f>
        <v>13.19961538</v>
      </c>
    </row>
    <row r="198" ht="25.5" customHeight="1">
      <c r="A198" s="4" t="s">
        <v>387</v>
      </c>
      <c r="B198" s="8"/>
      <c r="C198" s="6" t="s">
        <v>388</v>
      </c>
      <c r="D198" s="7">
        <f>D212+((D207-D212)/4)</f>
        <v>3.527</v>
      </c>
    </row>
    <row r="199" ht="25.5" customHeight="1">
      <c r="A199" s="4" t="s">
        <v>389</v>
      </c>
      <c r="B199" s="8"/>
      <c r="C199" s="6" t="s">
        <v>390</v>
      </c>
      <c r="D199" s="7">
        <f>D245+(((D2987-D245)/20)*2)</f>
        <v>2.592</v>
      </c>
    </row>
    <row r="200" ht="25.5" customHeight="1">
      <c r="A200" s="4" t="s">
        <v>391</v>
      </c>
      <c r="B200" s="8"/>
      <c r="C200" s="6" t="s">
        <v>392</v>
      </c>
      <c r="D200" s="7">
        <f>D241</f>
        <v>2.304</v>
      </c>
    </row>
    <row r="201" ht="25.5" customHeight="1">
      <c r="A201" s="4" t="s">
        <v>393</v>
      </c>
      <c r="B201" s="8"/>
      <c r="C201" s="6" t="s">
        <v>394</v>
      </c>
      <c r="D201" s="7">
        <f>D225+(((D181-D225)/3)*1)</f>
        <v>1.161702076</v>
      </c>
    </row>
    <row r="202" ht="25.5" customHeight="1">
      <c r="A202" s="4" t="s">
        <v>395</v>
      </c>
      <c r="B202" s="8"/>
      <c r="C202" s="6" t="s">
        <v>396</v>
      </c>
      <c r="D202" s="7">
        <f>AVERAGE(D198,D203,D224,D1970)</f>
        <v>7.10925</v>
      </c>
    </row>
    <row r="203" ht="25.5" customHeight="1">
      <c r="A203" s="4" t="s">
        <v>397</v>
      </c>
      <c r="B203" s="8"/>
      <c r="C203" s="6" t="s">
        <v>398</v>
      </c>
      <c r="D203" s="7">
        <f>D204+((D207-D204)/2)</f>
        <v>2.195</v>
      </c>
    </row>
    <row r="204" ht="25.5" customHeight="1">
      <c r="A204" s="4" t="s">
        <v>399</v>
      </c>
      <c r="B204" s="8"/>
      <c r="C204" s="6" t="s">
        <v>400</v>
      </c>
      <c r="D204" s="7">
        <f>D198+((D207-D198)/3)</f>
        <v>2.861</v>
      </c>
    </row>
    <row r="205" ht="25.5" customHeight="1">
      <c r="A205" s="4" t="s">
        <v>401</v>
      </c>
      <c r="B205" s="8"/>
      <c r="C205" s="6" t="s">
        <v>402</v>
      </c>
      <c r="D205" s="7">
        <f>AVERAGE(D194,D199)</f>
        <v>2.664</v>
      </c>
    </row>
    <row r="206" ht="25.5" customHeight="1">
      <c r="A206" s="4" t="s">
        <v>403</v>
      </c>
      <c r="B206" s="8"/>
      <c r="C206" s="6" t="s">
        <v>404</v>
      </c>
      <c r="D206" s="7">
        <f>AVERAGE(D233,D1983)</f>
        <v>7.400846154</v>
      </c>
    </row>
    <row r="207" ht="25.5" customHeight="1">
      <c r="A207" s="4" t="s">
        <v>405</v>
      </c>
      <c r="B207" s="8"/>
      <c r="C207" s="9" t="s">
        <v>406</v>
      </c>
      <c r="D207" s="7">
        <v>1.529</v>
      </c>
      <c r="E207" s="10" t="s">
        <v>407</v>
      </c>
    </row>
    <row r="208" ht="25.5" customHeight="1">
      <c r="A208" s="4" t="s">
        <v>408</v>
      </c>
      <c r="B208" s="8"/>
      <c r="C208" s="6" t="s">
        <v>409</v>
      </c>
      <c r="D208" s="7">
        <f>AVERAGE(D212,D198)</f>
        <v>3.86</v>
      </c>
    </row>
    <row r="209" ht="25.5" customHeight="1">
      <c r="A209" s="4" t="s">
        <v>410</v>
      </c>
      <c r="B209" s="8"/>
      <c r="C209" s="9" t="s">
        <v>411</v>
      </c>
      <c r="D209" s="7">
        <v>16.16</v>
      </c>
      <c r="E209" s="10" t="s">
        <v>412</v>
      </c>
    </row>
    <row r="210" ht="25.5" customHeight="1">
      <c r="A210" s="4" t="s">
        <v>413</v>
      </c>
      <c r="B210" s="8"/>
      <c r="C210" s="6" t="s">
        <v>414</v>
      </c>
      <c r="D210" s="7">
        <f>D212</f>
        <v>4.193</v>
      </c>
    </row>
    <row r="211" ht="25.5" customHeight="1">
      <c r="A211" s="4" t="s">
        <v>415</v>
      </c>
      <c r="B211" s="8"/>
      <c r="C211" s="6" t="s">
        <v>416</v>
      </c>
      <c r="D211" s="7">
        <f>AVERAGE(D205,D199,D240)</f>
        <v>2.568</v>
      </c>
    </row>
    <row r="212" ht="25.5" customHeight="1">
      <c r="A212" s="4" t="s">
        <v>417</v>
      </c>
      <c r="B212" s="8"/>
      <c r="C212" s="9" t="s">
        <v>418</v>
      </c>
      <c r="D212" s="7">
        <v>4.193</v>
      </c>
      <c r="E212" s="10" t="s">
        <v>418</v>
      </c>
    </row>
    <row r="213" ht="25.5" customHeight="1">
      <c r="A213" s="4" t="s">
        <v>419</v>
      </c>
      <c r="B213" s="8"/>
      <c r="C213" s="6" t="s">
        <v>420</v>
      </c>
      <c r="D213" s="7">
        <f>AVERAGE(D235,D1983)</f>
        <v>7.328846154</v>
      </c>
    </row>
    <row r="214" ht="25.5" customHeight="1">
      <c r="A214" s="4" t="s">
        <v>421</v>
      </c>
      <c r="B214" s="8"/>
      <c r="C214" s="6" t="s">
        <v>422</v>
      </c>
      <c r="D214" s="7">
        <f>AVERAGE(D198,D1978)</f>
        <v>7.731576923</v>
      </c>
    </row>
    <row r="215" ht="25.5" customHeight="1">
      <c r="A215" s="4" t="s">
        <v>423</v>
      </c>
      <c r="B215" s="8"/>
      <c r="C215" s="9" t="s">
        <v>424</v>
      </c>
      <c r="D215" s="7">
        <v>0.0</v>
      </c>
      <c r="E215" s="10" t="s">
        <v>425</v>
      </c>
    </row>
    <row r="216" ht="25.5" customHeight="1">
      <c r="A216" s="4" t="s">
        <v>426</v>
      </c>
      <c r="B216" s="8"/>
      <c r="C216" s="9" t="s">
        <v>427</v>
      </c>
      <c r="D216" s="7">
        <v>9.928</v>
      </c>
      <c r="E216" s="10" t="s">
        <v>427</v>
      </c>
    </row>
    <row r="217" ht="25.5" customHeight="1">
      <c r="A217" s="4" t="s">
        <v>428</v>
      </c>
      <c r="B217" s="8"/>
      <c r="C217" s="6" t="s">
        <v>289</v>
      </c>
      <c r="D217" s="7">
        <f>D222+(((D2798-D222)/13)*2)</f>
        <v>12.77846154</v>
      </c>
    </row>
    <row r="218" ht="25.5" customHeight="1">
      <c r="A218" s="4" t="s">
        <v>429</v>
      </c>
      <c r="B218" s="8"/>
      <c r="C218" s="6" t="s">
        <v>430</v>
      </c>
      <c r="D218" s="7">
        <f>D207+((D225-D207)/2)</f>
        <v>0.7645</v>
      </c>
    </row>
    <row r="219" ht="25.5" customHeight="1">
      <c r="A219" s="4" t="s">
        <v>431</v>
      </c>
      <c r="B219" s="8"/>
      <c r="C219" s="6" t="s">
        <v>432</v>
      </c>
      <c r="D219" s="7">
        <f>D222+(((D2798-D222)/13)*1)</f>
        <v>13.05923077</v>
      </c>
    </row>
    <row r="220" ht="25.5" customHeight="1">
      <c r="A220" s="4" t="s">
        <v>433</v>
      </c>
      <c r="B220" s="8"/>
      <c r="C220" s="6" t="s">
        <v>434</v>
      </c>
      <c r="D220" s="7">
        <f>AVERAGE(D233,D240)</f>
        <v>2.376</v>
      </c>
    </row>
    <row r="221" ht="25.5" customHeight="1">
      <c r="A221" s="4" t="s">
        <v>435</v>
      </c>
      <c r="B221" s="8"/>
      <c r="C221" s="9" t="s">
        <v>436</v>
      </c>
      <c r="D221" s="7">
        <v>3.382</v>
      </c>
      <c r="E221" s="10" t="s">
        <v>437</v>
      </c>
    </row>
    <row r="222" ht="25.5" customHeight="1">
      <c r="A222" s="4" t="s">
        <v>438</v>
      </c>
      <c r="B222" s="8"/>
      <c r="C222" s="9" t="s">
        <v>439</v>
      </c>
      <c r="D222" s="7">
        <v>13.34</v>
      </c>
      <c r="E222" s="10" t="s">
        <v>439</v>
      </c>
    </row>
    <row r="223" ht="25.5" customHeight="1">
      <c r="A223" s="4" t="s">
        <v>440</v>
      </c>
      <c r="B223" s="8"/>
      <c r="C223" s="6" t="s">
        <v>441</v>
      </c>
      <c r="D223" s="7">
        <f>AVERAGE(D215,D232,D231,D212,D198)</f>
        <v>6.0532</v>
      </c>
    </row>
    <row r="224" ht="25.5" customHeight="1">
      <c r="A224" s="4" t="s">
        <v>442</v>
      </c>
      <c r="B224" s="8"/>
      <c r="C224" s="9" t="s">
        <v>443</v>
      </c>
      <c r="D224" s="7">
        <v>5.065</v>
      </c>
      <c r="E224" s="10" t="s">
        <v>444</v>
      </c>
    </row>
    <row r="225" ht="25.5" customHeight="1">
      <c r="A225" s="4" t="s">
        <v>445</v>
      </c>
      <c r="B225" s="8"/>
      <c r="C225" s="9" t="s">
        <v>446</v>
      </c>
      <c r="D225" s="7">
        <v>0.0</v>
      </c>
      <c r="E225" s="10" t="s">
        <v>446</v>
      </c>
    </row>
    <row r="226" ht="25.5" customHeight="1">
      <c r="A226" s="4" t="s">
        <v>447</v>
      </c>
      <c r="B226" s="8"/>
      <c r="C226" s="9" t="s">
        <v>448</v>
      </c>
      <c r="D226" s="7">
        <v>16.94</v>
      </c>
      <c r="E226" s="10" t="s">
        <v>449</v>
      </c>
    </row>
    <row r="227" ht="25.5" customHeight="1">
      <c r="A227" s="4" t="s">
        <v>450</v>
      </c>
      <c r="B227" s="8"/>
      <c r="C227" s="6" t="s">
        <v>451</v>
      </c>
      <c r="D227" s="7">
        <f>D222+((D238-D222)/2)</f>
        <v>7.9535</v>
      </c>
    </row>
    <row r="228" ht="25.5" customHeight="1">
      <c r="A228" s="4" t="s">
        <v>452</v>
      </c>
      <c r="B228" s="8"/>
      <c r="C228" s="9" t="s">
        <v>453</v>
      </c>
      <c r="D228" s="7">
        <v>2.252</v>
      </c>
      <c r="E228" s="10" t="s">
        <v>454</v>
      </c>
    </row>
    <row r="229" ht="25.5" customHeight="1">
      <c r="A229" s="4" t="s">
        <v>455</v>
      </c>
      <c r="B229" s="8"/>
      <c r="C229" s="9" t="s">
        <v>456</v>
      </c>
      <c r="D229" s="7">
        <v>6.691</v>
      </c>
      <c r="E229" s="10" t="s">
        <v>457</v>
      </c>
    </row>
    <row r="230" ht="25.5" customHeight="1">
      <c r="A230" s="4" t="s">
        <v>458</v>
      </c>
      <c r="B230" s="8"/>
      <c r="C230" s="9" t="s">
        <v>459</v>
      </c>
      <c r="D230" s="7">
        <v>1.477</v>
      </c>
      <c r="E230" s="10" t="s">
        <v>460</v>
      </c>
    </row>
    <row r="231" ht="25.5" customHeight="1">
      <c r="A231" s="4" t="s">
        <v>461</v>
      </c>
      <c r="B231" s="8"/>
      <c r="C231" s="9" t="s">
        <v>462</v>
      </c>
      <c r="D231" s="7">
        <v>18.38</v>
      </c>
      <c r="E231" s="10" t="s">
        <v>463</v>
      </c>
    </row>
    <row r="232" ht="25.5" customHeight="1">
      <c r="A232" s="4" t="s">
        <v>464</v>
      </c>
      <c r="B232" s="8"/>
      <c r="C232" s="9" t="s">
        <v>362</v>
      </c>
      <c r="D232" s="7">
        <v>4.166</v>
      </c>
      <c r="E232" s="10" t="s">
        <v>362</v>
      </c>
    </row>
    <row r="233" ht="25.5" customHeight="1">
      <c r="A233" s="4" t="s">
        <v>465</v>
      </c>
      <c r="B233" s="8"/>
      <c r="C233" s="6" t="s">
        <v>466</v>
      </c>
      <c r="D233" s="7">
        <f>D245+(((D2987-D245)/20)*4)</f>
        <v>2.304</v>
      </c>
    </row>
    <row r="234" ht="25.5" customHeight="1">
      <c r="A234" s="4" t="s">
        <v>467</v>
      </c>
      <c r="B234" s="8"/>
      <c r="C234" s="6" t="s">
        <v>468</v>
      </c>
      <c r="D234" s="7">
        <f>AVERAGE(D1983,D217)</f>
        <v>12.63807692</v>
      </c>
    </row>
    <row r="235" ht="25.5" customHeight="1">
      <c r="A235" s="4" t="s">
        <v>469</v>
      </c>
      <c r="B235" s="8"/>
      <c r="C235" s="6" t="s">
        <v>470</v>
      </c>
      <c r="D235" s="7">
        <f>D245+(((D2987-D245)/20)*5)</f>
        <v>2.16</v>
      </c>
    </row>
    <row r="236" ht="25.5" customHeight="1">
      <c r="A236" s="4" t="s">
        <v>471</v>
      </c>
      <c r="B236" s="8"/>
      <c r="C236" s="9" t="s">
        <v>472</v>
      </c>
      <c r="D236" s="7">
        <v>9.282</v>
      </c>
      <c r="E236" s="10" t="s">
        <v>473</v>
      </c>
    </row>
    <row r="237" ht="25.5" customHeight="1">
      <c r="A237" s="4" t="s">
        <v>474</v>
      </c>
      <c r="B237" s="8"/>
      <c r="C237" s="9" t="s">
        <v>475</v>
      </c>
      <c r="D237" s="7">
        <v>4.054</v>
      </c>
      <c r="E237" s="10" t="s">
        <v>476</v>
      </c>
    </row>
    <row r="238" ht="25.5" customHeight="1">
      <c r="A238" s="4" t="s">
        <v>477</v>
      </c>
      <c r="B238" s="8"/>
      <c r="C238" s="9" t="s">
        <v>478</v>
      </c>
      <c r="D238" s="7">
        <v>2.567</v>
      </c>
      <c r="E238" s="10" t="s">
        <v>479</v>
      </c>
    </row>
    <row r="239" ht="25.5" customHeight="1">
      <c r="A239" s="4" t="s">
        <v>480</v>
      </c>
      <c r="B239" s="8"/>
      <c r="C239" s="6" t="s">
        <v>481</v>
      </c>
      <c r="D239" s="7">
        <f>AVERAGE(D194,D245,D222,D219)</f>
        <v>8.003807692</v>
      </c>
    </row>
    <row r="240" ht="25.5" customHeight="1">
      <c r="A240" s="4" t="s">
        <v>482</v>
      </c>
      <c r="B240" s="8"/>
      <c r="C240" s="6" t="s">
        <v>483</v>
      </c>
      <c r="D240" s="7">
        <f>D245+(((D2987-D245)/20)*3)</f>
        <v>2.448</v>
      </c>
    </row>
    <row r="241" ht="25.5" customHeight="1">
      <c r="A241" s="4" t="s">
        <v>484</v>
      </c>
      <c r="B241" s="8"/>
      <c r="C241" s="6" t="s">
        <v>485</v>
      </c>
      <c r="D241" s="7">
        <f>AVERAGE(D240,D233,D235)</f>
        <v>2.304</v>
      </c>
    </row>
    <row r="242" ht="25.5" customHeight="1">
      <c r="A242" s="4" t="s">
        <v>486</v>
      </c>
      <c r="B242" s="8"/>
      <c r="C242" s="6" t="s">
        <v>487</v>
      </c>
      <c r="D242" s="7">
        <f>AVERAGE(D198,D204,D203)</f>
        <v>2.861</v>
      </c>
    </row>
    <row r="243" ht="25.5" customHeight="1">
      <c r="A243" s="4" t="s">
        <v>488</v>
      </c>
      <c r="B243" s="8"/>
      <c r="C243" s="6" t="s">
        <v>489</v>
      </c>
      <c r="D243" s="7">
        <f>D238</f>
        <v>2.567</v>
      </c>
    </row>
    <row r="244" ht="25.5" customHeight="1">
      <c r="A244" s="4" t="s">
        <v>490</v>
      </c>
      <c r="B244" s="8"/>
      <c r="C244" s="6" t="s">
        <v>491</v>
      </c>
      <c r="D244" s="7">
        <f>D230+((D207-D230)/2)</f>
        <v>1.503</v>
      </c>
    </row>
    <row r="245" ht="25.5" customHeight="1">
      <c r="A245" s="4" t="s">
        <v>492</v>
      </c>
      <c r="B245" s="8"/>
      <c r="C245" s="9" t="s">
        <v>493</v>
      </c>
      <c r="D245" s="7">
        <v>2.88</v>
      </c>
      <c r="E245" s="10" t="s">
        <v>494</v>
      </c>
    </row>
    <row r="246" ht="25.5" customHeight="1">
      <c r="A246" s="4" t="s">
        <v>495</v>
      </c>
      <c r="B246" s="11"/>
      <c r="C246" s="6" t="s">
        <v>496</v>
      </c>
      <c r="D246" s="7">
        <f>AVERAGE(D219,D217)</f>
        <v>12.91884615</v>
      </c>
    </row>
    <row r="247" ht="25.5" customHeight="1">
      <c r="A247" s="4" t="s">
        <v>497</v>
      </c>
      <c r="B247" s="5" t="s">
        <v>498</v>
      </c>
      <c r="C247" s="6" t="s">
        <v>499</v>
      </c>
      <c r="D247" s="7">
        <f>D265</f>
        <v>40.99</v>
      </c>
    </row>
    <row r="248" ht="25.5" customHeight="1">
      <c r="A248" s="4" t="s">
        <v>500</v>
      </c>
      <c r="B248" s="8"/>
      <c r="C248" s="6" t="s">
        <v>501</v>
      </c>
      <c r="D248" s="7">
        <f>D275</f>
        <v>32.22757692</v>
      </c>
    </row>
    <row r="249" ht="25.5" customHeight="1">
      <c r="A249" s="4" t="s">
        <v>502</v>
      </c>
      <c r="B249" s="8"/>
      <c r="C249" s="6" t="s">
        <v>503</v>
      </c>
      <c r="D249" s="7">
        <f>D265</f>
        <v>40.99</v>
      </c>
    </row>
    <row r="250" ht="25.5" customHeight="1">
      <c r="A250" s="4" t="s">
        <v>504</v>
      </c>
      <c r="B250" s="8"/>
      <c r="C250" s="6" t="s">
        <v>505</v>
      </c>
      <c r="D250" s="7">
        <f>AVERAGE(D1958,D1956)</f>
        <v>14.97665385</v>
      </c>
    </row>
    <row r="251" ht="25.5" customHeight="1">
      <c r="A251" s="4" t="s">
        <v>506</v>
      </c>
      <c r="B251" s="8"/>
      <c r="C251" s="6" t="s">
        <v>507</v>
      </c>
      <c r="D251" s="7">
        <f>D283</f>
        <v>29.30676923</v>
      </c>
    </row>
    <row r="252" ht="25.5" customHeight="1">
      <c r="A252" s="4" t="s">
        <v>508</v>
      </c>
      <c r="B252" s="8"/>
      <c r="C252" s="6" t="s">
        <v>509</v>
      </c>
      <c r="D252" s="7">
        <f>D283</f>
        <v>29.30676923</v>
      </c>
    </row>
    <row r="253" ht="25.5" customHeight="1">
      <c r="A253" s="4" t="s">
        <v>510</v>
      </c>
      <c r="B253" s="8"/>
      <c r="C253" s="6" t="s">
        <v>511</v>
      </c>
      <c r="D253" s="7">
        <f>AVERAGE(D277,D254,D309,D282)</f>
        <v>32.66962179</v>
      </c>
    </row>
    <row r="254" ht="25.5" customHeight="1">
      <c r="A254" s="4" t="s">
        <v>512</v>
      </c>
      <c r="B254" s="8"/>
      <c r="C254" s="6" t="s">
        <v>513</v>
      </c>
      <c r="D254" s="7">
        <f>D265</f>
        <v>40.99</v>
      </c>
    </row>
    <row r="255" ht="25.5" customHeight="1">
      <c r="A255" s="4" t="s">
        <v>514</v>
      </c>
      <c r="B255" s="8"/>
      <c r="C255" s="6" t="s">
        <v>515</v>
      </c>
      <c r="D255" s="7">
        <f>AVERAGE(D281,D296,D273,D302,D269,D294)</f>
        <v>30.00440064</v>
      </c>
    </row>
    <row r="256" ht="25.5" customHeight="1">
      <c r="A256" s="4" t="s">
        <v>516</v>
      </c>
      <c r="B256" s="8"/>
      <c r="C256" s="6" t="s">
        <v>517</v>
      </c>
      <c r="D256" s="7">
        <f>AVERAGE(D279,D284)</f>
        <v>32.5225</v>
      </c>
    </row>
    <row r="257" ht="25.5" customHeight="1">
      <c r="A257" s="4" t="s">
        <v>518</v>
      </c>
      <c r="B257" s="8"/>
      <c r="C257" s="6" t="s">
        <v>519</v>
      </c>
      <c r="D257" s="12">
        <f>D2794+(((D263-D2794)/10)*8)</f>
        <v>34.59364103</v>
      </c>
    </row>
    <row r="258" ht="25.5" customHeight="1">
      <c r="A258" s="4" t="s">
        <v>520</v>
      </c>
      <c r="B258" s="8"/>
      <c r="C258" s="6" t="s">
        <v>521</v>
      </c>
      <c r="D258" s="7">
        <f>AVERAGE(D1956,D1964,D259,D248)</f>
        <v>26.62936218</v>
      </c>
    </row>
    <row r="259" ht="25.5" customHeight="1">
      <c r="A259" s="4" t="s">
        <v>522</v>
      </c>
      <c r="B259" s="8"/>
      <c r="C259" s="6" t="s">
        <v>523</v>
      </c>
      <c r="D259" s="7">
        <f>AVERAGE(D283,D275)</f>
        <v>30.76717308</v>
      </c>
    </row>
    <row r="260" ht="25.5" customHeight="1">
      <c r="A260" s="4" t="s">
        <v>524</v>
      </c>
      <c r="B260" s="8"/>
      <c r="C260" s="6" t="s">
        <v>525</v>
      </c>
      <c r="D260" s="7">
        <f>AVERAGE(D284,D298)</f>
        <v>34.68219231</v>
      </c>
    </row>
    <row r="261" ht="25.5" customHeight="1">
      <c r="A261" s="4" t="s">
        <v>526</v>
      </c>
      <c r="B261" s="8"/>
      <c r="C261" s="6" t="s">
        <v>527</v>
      </c>
      <c r="D261" s="7">
        <f>AVERAGE(D275,D298)</f>
        <v>33.68798077</v>
      </c>
    </row>
    <row r="262" ht="25.5" customHeight="1">
      <c r="A262" s="4" t="s">
        <v>528</v>
      </c>
      <c r="B262" s="8"/>
      <c r="C262" s="6" t="s">
        <v>529</v>
      </c>
      <c r="D262" s="7">
        <f>D286</f>
        <v>21.80092308</v>
      </c>
    </row>
    <row r="263" ht="25.5" customHeight="1">
      <c r="A263" s="4" t="s">
        <v>530</v>
      </c>
      <c r="B263" s="8"/>
      <c r="C263" s="6" t="s">
        <v>531</v>
      </c>
      <c r="D263" s="7">
        <f>D265</f>
        <v>40.99</v>
      </c>
    </row>
    <row r="264" ht="25.5" customHeight="1">
      <c r="A264" s="4" t="s">
        <v>532</v>
      </c>
      <c r="B264" s="8"/>
      <c r="C264" s="6" t="s">
        <v>533</v>
      </c>
      <c r="D264" s="7">
        <f>D2799</f>
        <v>10.96828205</v>
      </c>
    </row>
    <row r="265" ht="25.5" customHeight="1">
      <c r="A265" s="4" t="s">
        <v>534</v>
      </c>
      <c r="B265" s="8"/>
      <c r="C265" s="9" t="s">
        <v>535</v>
      </c>
      <c r="D265" s="7">
        <v>40.99</v>
      </c>
      <c r="E265" s="10" t="s">
        <v>536</v>
      </c>
    </row>
    <row r="266" ht="25.5" customHeight="1">
      <c r="A266" s="4" t="s">
        <v>537</v>
      </c>
      <c r="B266" s="8"/>
      <c r="C266" s="6" t="s">
        <v>538</v>
      </c>
      <c r="D266" s="12">
        <f>D2794+(((D263-D2794)/10)*6)</f>
        <v>28.19728205</v>
      </c>
    </row>
    <row r="267" ht="25.5" customHeight="1">
      <c r="A267" s="4" t="s">
        <v>539</v>
      </c>
      <c r="B267" s="8"/>
      <c r="C267" s="6" t="s">
        <v>540</v>
      </c>
      <c r="D267" s="12">
        <f>D1935+(((D265-D1935)/10)*9)</f>
        <v>38.06919231</v>
      </c>
    </row>
    <row r="268" ht="25.5" customHeight="1">
      <c r="A268" s="4" t="s">
        <v>541</v>
      </c>
      <c r="B268" s="8"/>
      <c r="C268" s="6" t="s">
        <v>542</v>
      </c>
      <c r="D268" s="7">
        <f>D249+(((D976-D249)/11)*1)</f>
        <v>37.603</v>
      </c>
    </row>
    <row r="269" ht="25.5" customHeight="1">
      <c r="A269" s="4" t="s">
        <v>543</v>
      </c>
      <c r="B269" s="8"/>
      <c r="C269" s="6" t="s">
        <v>370</v>
      </c>
      <c r="D269" s="7">
        <f>AVERAGE(D298,D267)</f>
        <v>36.60878846</v>
      </c>
    </row>
    <row r="270" ht="25.5" customHeight="1">
      <c r="A270" s="4" t="s">
        <v>544</v>
      </c>
      <c r="B270" s="8"/>
      <c r="C270" s="6" t="s">
        <v>545</v>
      </c>
      <c r="D270" s="12">
        <f>D2794+(((D263-D2794)/10)*5)</f>
        <v>24.99910256</v>
      </c>
    </row>
    <row r="271" ht="25.5" customHeight="1">
      <c r="A271" s="4" t="s">
        <v>546</v>
      </c>
      <c r="B271" s="8"/>
      <c r="C271" s="6" t="s">
        <v>547</v>
      </c>
      <c r="D271" s="7">
        <f>AVERAGE(D257,D277)</f>
        <v>36.19273077</v>
      </c>
    </row>
    <row r="272" ht="25.5" customHeight="1">
      <c r="A272" s="4" t="s">
        <v>548</v>
      </c>
      <c r="B272" s="8"/>
      <c r="C272" s="6" t="s">
        <v>549</v>
      </c>
      <c r="D272" s="7">
        <f>AVERAGE(D266,D306,D257,D282)</f>
        <v>28.78020726</v>
      </c>
    </row>
    <row r="273" ht="25.5" customHeight="1">
      <c r="A273" s="4" t="s">
        <v>550</v>
      </c>
      <c r="B273" s="8"/>
      <c r="C273" s="6" t="s">
        <v>551</v>
      </c>
      <c r="D273" s="7">
        <f>D286</f>
        <v>21.80092308</v>
      </c>
    </row>
    <row r="274" ht="25.5" customHeight="1">
      <c r="A274" s="4" t="s">
        <v>552</v>
      </c>
      <c r="B274" s="8"/>
      <c r="C274" s="6" t="s">
        <v>553</v>
      </c>
      <c r="D274" s="7">
        <f>AVERAGE(D302,D273)</f>
        <v>27.01425</v>
      </c>
    </row>
    <row r="275" ht="25.5" customHeight="1">
      <c r="A275" s="4" t="s">
        <v>554</v>
      </c>
      <c r="B275" s="8"/>
      <c r="C275" s="6" t="s">
        <v>555</v>
      </c>
      <c r="D275" s="12">
        <f>D1935+(((D265-D1935)/10)*7)</f>
        <v>32.22757692</v>
      </c>
    </row>
    <row r="276" ht="25.5" customHeight="1">
      <c r="A276" s="4" t="s">
        <v>556</v>
      </c>
      <c r="B276" s="8"/>
      <c r="C276" s="6" t="s">
        <v>138</v>
      </c>
      <c r="D276" s="7">
        <f>AVERAGE(D282,D3123,D3126)</f>
        <v>14.04648148</v>
      </c>
    </row>
    <row r="277" ht="25.5" customHeight="1">
      <c r="A277" s="4" t="s">
        <v>557</v>
      </c>
      <c r="B277" s="8"/>
      <c r="C277" s="6" t="s">
        <v>140</v>
      </c>
      <c r="D277" s="12">
        <f>D2794+(((D263-D2794)/10)*9)</f>
        <v>37.79182051</v>
      </c>
    </row>
    <row r="278" ht="25.5" customHeight="1">
      <c r="A278" s="4" t="s">
        <v>558</v>
      </c>
      <c r="B278" s="8"/>
      <c r="C278" s="6" t="s">
        <v>559</v>
      </c>
      <c r="D278" s="7">
        <f>D284</f>
        <v>34.216</v>
      </c>
    </row>
    <row r="279" ht="25.5" customHeight="1">
      <c r="A279" s="4" t="s">
        <v>560</v>
      </c>
      <c r="B279" s="8"/>
      <c r="C279" s="6" t="s">
        <v>561</v>
      </c>
      <c r="D279" s="7">
        <f>D249+(((D976-D249)/11)*3)</f>
        <v>30.829</v>
      </c>
    </row>
    <row r="280" ht="25.5" customHeight="1">
      <c r="A280" s="4" t="s">
        <v>562</v>
      </c>
      <c r="B280" s="8"/>
      <c r="C280" s="6" t="s">
        <v>563</v>
      </c>
      <c r="D280" s="7">
        <f>D1958</f>
        <v>11.35616667</v>
      </c>
    </row>
    <row r="281" ht="25.5" customHeight="1">
      <c r="A281" s="4" t="s">
        <v>564</v>
      </c>
      <c r="B281" s="8"/>
      <c r="C281" s="6" t="s">
        <v>402</v>
      </c>
      <c r="D281" s="7">
        <f>AVERAGE(D306,D266)</f>
        <v>29.79637179</v>
      </c>
    </row>
    <row r="282" ht="25.5" customHeight="1">
      <c r="A282" s="4" t="s">
        <v>565</v>
      </c>
      <c r="B282" s="8"/>
      <c r="C282" s="6" t="s">
        <v>566</v>
      </c>
      <c r="D282" s="7">
        <f>D3133+(((D247-D3133)/3)*1)</f>
        <v>20.93444444</v>
      </c>
    </row>
    <row r="283" ht="25.5" customHeight="1">
      <c r="A283" s="4" t="s">
        <v>567</v>
      </c>
      <c r="B283" s="8"/>
      <c r="C283" s="6" t="s">
        <v>568</v>
      </c>
      <c r="D283" s="12">
        <f>D1935+(((D265-D1935)/10)*6)</f>
        <v>29.30676923</v>
      </c>
    </row>
    <row r="284" ht="25.5" customHeight="1">
      <c r="A284" s="4" t="s">
        <v>569</v>
      </c>
      <c r="B284" s="8"/>
      <c r="C284" s="6" t="s">
        <v>273</v>
      </c>
      <c r="D284" s="7">
        <f>D249+(((D976-D249)/11)*2)</f>
        <v>34.216</v>
      </c>
    </row>
    <row r="285" ht="25.5" customHeight="1">
      <c r="A285" s="4" t="s">
        <v>570</v>
      </c>
      <c r="B285" s="8"/>
      <c r="C285" s="6" t="s">
        <v>277</v>
      </c>
      <c r="D285" s="7">
        <f>D309+(((D1835-D309)/5)*3)</f>
        <v>19.29388889</v>
      </c>
    </row>
    <row r="286" ht="25.5" customHeight="1">
      <c r="A286" s="4" t="s">
        <v>571</v>
      </c>
      <c r="B286" s="8"/>
      <c r="C286" s="6" t="s">
        <v>572</v>
      </c>
      <c r="D286" s="12">
        <f>D2794+(((D263-D2794)/10)*4)</f>
        <v>21.80092308</v>
      </c>
    </row>
    <row r="287" ht="25.5" customHeight="1">
      <c r="A287" s="4" t="s">
        <v>573</v>
      </c>
      <c r="B287" s="8"/>
      <c r="C287" s="6" t="s">
        <v>574</v>
      </c>
      <c r="D287" s="7">
        <f>D302</f>
        <v>32.22757692</v>
      </c>
    </row>
    <row r="288" ht="25.5" customHeight="1">
      <c r="A288" s="4" t="s">
        <v>575</v>
      </c>
      <c r="B288" s="8"/>
      <c r="C288" s="6" t="s">
        <v>576</v>
      </c>
      <c r="D288" s="7">
        <f>AVERAGE(D3126,D3141)</f>
        <v>10.39972222</v>
      </c>
    </row>
    <row r="289" ht="25.5" customHeight="1">
      <c r="A289" s="4" t="s">
        <v>577</v>
      </c>
      <c r="B289" s="8"/>
      <c r="C289" s="6" t="s">
        <v>578</v>
      </c>
      <c r="D289" s="7">
        <f>AVERAGE(D2799,D1958)</f>
        <v>11.16222436</v>
      </c>
    </row>
    <row r="290" ht="25.5" customHeight="1">
      <c r="A290" s="4" t="s">
        <v>579</v>
      </c>
      <c r="B290" s="8"/>
      <c r="C290" s="6" t="s">
        <v>580</v>
      </c>
      <c r="D290" s="7">
        <f>D286</f>
        <v>21.80092308</v>
      </c>
    </row>
    <row r="291" ht="25.5" customHeight="1">
      <c r="A291" s="4" t="s">
        <v>581</v>
      </c>
      <c r="B291" s="8"/>
      <c r="C291" s="6" t="s">
        <v>171</v>
      </c>
      <c r="D291" s="7">
        <f>D309+(((D1835-D309)/5)*1)</f>
        <v>27.07277778</v>
      </c>
    </row>
    <row r="292" ht="25.5" customHeight="1">
      <c r="A292" s="4" t="s">
        <v>582</v>
      </c>
      <c r="B292" s="8"/>
      <c r="C292" s="6" t="s">
        <v>583</v>
      </c>
      <c r="D292" s="7">
        <f>AVERAGE(D298,D283)</f>
        <v>32.22757692</v>
      </c>
    </row>
    <row r="293" ht="25.5" customHeight="1">
      <c r="A293" s="4" t="s">
        <v>584</v>
      </c>
      <c r="B293" s="8"/>
      <c r="C293" s="6" t="s">
        <v>585</v>
      </c>
      <c r="D293" s="7">
        <f>AVERAGE(D273,D290)</f>
        <v>21.80092308</v>
      </c>
    </row>
    <row r="294" ht="25.5" customHeight="1">
      <c r="A294" s="4" t="s">
        <v>586</v>
      </c>
      <c r="B294" s="8"/>
      <c r="C294" s="6" t="s">
        <v>587</v>
      </c>
      <c r="D294" s="7">
        <f>AVERAGE(D277,D257,D306)</f>
        <v>34.59364103</v>
      </c>
    </row>
    <row r="295" ht="25.5" customHeight="1">
      <c r="A295" s="4" t="s">
        <v>588</v>
      </c>
      <c r="B295" s="8"/>
      <c r="C295" s="6" t="s">
        <v>296</v>
      </c>
      <c r="D295" s="7">
        <f>AVERAGE(D305,D285)</f>
        <v>17.34916667</v>
      </c>
    </row>
    <row r="296" ht="25.5" customHeight="1">
      <c r="A296" s="4" t="s">
        <v>589</v>
      </c>
      <c r="B296" s="8"/>
      <c r="C296" s="6" t="s">
        <v>590</v>
      </c>
      <c r="D296" s="7">
        <f>AVERAGE(D266,D270,D286)</f>
        <v>24.99910256</v>
      </c>
    </row>
    <row r="297" ht="25.5" customHeight="1">
      <c r="A297" s="4" t="s">
        <v>591</v>
      </c>
      <c r="B297" s="8"/>
      <c r="C297" s="6" t="s">
        <v>592</v>
      </c>
      <c r="D297" s="7">
        <f>AVERAGE(D278,D252,D251)</f>
        <v>30.94317949</v>
      </c>
    </row>
    <row r="298" ht="25.5" customHeight="1">
      <c r="A298" s="4" t="s">
        <v>593</v>
      </c>
      <c r="B298" s="8"/>
      <c r="C298" s="6" t="s">
        <v>594</v>
      </c>
      <c r="D298" s="12">
        <f>D1935+(((D265-D1935)/10)*8)</f>
        <v>35.14838462</v>
      </c>
    </row>
    <row r="299" ht="25.5" customHeight="1">
      <c r="A299" s="4" t="s">
        <v>595</v>
      </c>
      <c r="B299" s="8"/>
      <c r="C299" s="6" t="s">
        <v>596</v>
      </c>
      <c r="D299" s="7">
        <f>D270</f>
        <v>24.99910256</v>
      </c>
    </row>
    <row r="300" ht="25.5" customHeight="1">
      <c r="A300" s="4" t="s">
        <v>597</v>
      </c>
      <c r="B300" s="8"/>
      <c r="C300" s="6" t="s">
        <v>598</v>
      </c>
      <c r="D300" s="7">
        <f>AVERAGE(D248,D302)</f>
        <v>32.22757692</v>
      </c>
    </row>
    <row r="301" ht="25.5" customHeight="1">
      <c r="A301" s="4" t="s">
        <v>599</v>
      </c>
      <c r="B301" s="8"/>
      <c r="C301" s="6" t="s">
        <v>600</v>
      </c>
      <c r="D301" s="7">
        <f>AVERAGE(D270,D266,D3126)</f>
        <v>21.23249858</v>
      </c>
    </row>
    <row r="302" ht="25.5" customHeight="1">
      <c r="A302" s="4" t="s">
        <v>601</v>
      </c>
      <c r="B302" s="8"/>
      <c r="C302" s="6" t="s">
        <v>602</v>
      </c>
      <c r="D302" s="7">
        <f>AVERAGE(D275)</f>
        <v>32.22757692</v>
      </c>
    </row>
    <row r="303" ht="25.5" customHeight="1">
      <c r="A303" s="4" t="s">
        <v>603</v>
      </c>
      <c r="B303" s="8"/>
      <c r="C303" s="6" t="s">
        <v>604</v>
      </c>
      <c r="D303" s="7">
        <f>AVERAGE(D293,D304,D264,D280,D274)</f>
        <v>17.50484487</v>
      </c>
    </row>
    <row r="304" ht="25.5" customHeight="1">
      <c r="A304" s="4" t="s">
        <v>605</v>
      </c>
      <c r="B304" s="8"/>
      <c r="C304" s="6" t="s">
        <v>606</v>
      </c>
      <c r="D304" s="7">
        <f>AVERAGE(D290,D2799)</f>
        <v>16.38460256</v>
      </c>
    </row>
    <row r="305" ht="25.5" customHeight="1">
      <c r="A305" s="4" t="s">
        <v>607</v>
      </c>
      <c r="B305" s="8"/>
      <c r="C305" s="6" t="s">
        <v>608</v>
      </c>
      <c r="D305" s="7">
        <f>D309+(((D1835-D309)/5)*4)</f>
        <v>15.40444444</v>
      </c>
    </row>
    <row r="306" ht="25.5" customHeight="1">
      <c r="A306" s="4" t="s">
        <v>609</v>
      </c>
      <c r="B306" s="8"/>
      <c r="C306" s="6" t="s">
        <v>610</v>
      </c>
      <c r="D306" s="12">
        <f>D2794+(((D263-D2794)/10)*7)</f>
        <v>31.39546154</v>
      </c>
    </row>
    <row r="307" ht="25.5" customHeight="1">
      <c r="A307" s="4" t="s">
        <v>611</v>
      </c>
      <c r="B307" s="8"/>
      <c r="C307" s="6" t="s">
        <v>612</v>
      </c>
      <c r="D307" s="7">
        <f>AVERAGE(D267,D265)</f>
        <v>39.52959615</v>
      </c>
    </row>
    <row r="308" ht="25.5" customHeight="1">
      <c r="A308" s="4" t="s">
        <v>613</v>
      </c>
      <c r="B308" s="8"/>
      <c r="C308" s="6" t="s">
        <v>197</v>
      </c>
      <c r="D308" s="7">
        <f>D309+(((D1835-D309)/5)*2)</f>
        <v>23.18333333</v>
      </c>
    </row>
    <row r="309" ht="25.5" customHeight="1">
      <c r="A309" s="4" t="s">
        <v>614</v>
      </c>
      <c r="B309" s="8"/>
      <c r="C309" s="6" t="s">
        <v>615</v>
      </c>
      <c r="D309" s="7">
        <f>D3133+(((D247-D3133)/3)*2)</f>
        <v>30.96222222</v>
      </c>
    </row>
    <row r="310" ht="25.5" customHeight="1">
      <c r="A310" s="4" t="s">
        <v>616</v>
      </c>
      <c r="B310" s="11"/>
      <c r="C310" s="6" t="s">
        <v>366</v>
      </c>
      <c r="D310" s="7">
        <f>AVERAGE(D285,D308,D279)</f>
        <v>24.43540741</v>
      </c>
    </row>
    <row r="311" ht="25.5" customHeight="1">
      <c r="A311" s="13" t="s">
        <v>617</v>
      </c>
      <c r="B311" s="5" t="s">
        <v>618</v>
      </c>
      <c r="C311" s="14" t="s">
        <v>619</v>
      </c>
      <c r="D311" s="7">
        <f>D319+(((D1183-D319)/7)*2)</f>
        <v>8.428571429</v>
      </c>
    </row>
    <row r="312" ht="25.5" customHeight="1">
      <c r="A312" s="13" t="s">
        <v>620</v>
      </c>
      <c r="B312" s="8"/>
      <c r="C312" s="14" t="s">
        <v>621</v>
      </c>
      <c r="D312" s="7">
        <f>D313+(((D318-D313)/3)*1)</f>
        <v>15.23660952</v>
      </c>
    </row>
    <row r="313" ht="25.5" customHeight="1">
      <c r="A313" s="13" t="s">
        <v>622</v>
      </c>
      <c r="B313" s="8"/>
      <c r="C313" s="14" t="s">
        <v>623</v>
      </c>
      <c r="D313" s="12">
        <f>D1915+(((D319-D1915)/5)*4)</f>
        <v>8.7072</v>
      </c>
    </row>
    <row r="314" ht="25.5" customHeight="1">
      <c r="A314" s="13" t="s">
        <v>624</v>
      </c>
      <c r="B314" s="8"/>
      <c r="C314" s="14" t="s">
        <v>625</v>
      </c>
      <c r="D314" s="12">
        <f>D2040+(((D315-D2040)/3)*2)</f>
        <v>21.07634603</v>
      </c>
    </row>
    <row r="315" ht="25.5" customHeight="1">
      <c r="A315" s="13" t="s">
        <v>626</v>
      </c>
      <c r="B315" s="8"/>
      <c r="C315" s="14" t="s">
        <v>627</v>
      </c>
      <c r="D315" s="7">
        <f>D313+(((D318-D313)/3)*2)</f>
        <v>21.76601905</v>
      </c>
    </row>
    <row r="316" ht="25.5" customHeight="1">
      <c r="A316" s="13" t="s">
        <v>628</v>
      </c>
      <c r="B316" s="8"/>
      <c r="C316" s="14" t="s">
        <v>629</v>
      </c>
      <c r="D316" s="7">
        <f>D319+(((D1183-D319)/7)*3)</f>
        <v>9.550857143</v>
      </c>
    </row>
    <row r="317" ht="25.5" customHeight="1">
      <c r="A317" s="13" t="s">
        <v>630</v>
      </c>
      <c r="B317" s="8"/>
      <c r="C317" s="14" t="s">
        <v>631</v>
      </c>
      <c r="D317" s="7">
        <f>D319+(((D1183-D319)/7)*1)</f>
        <v>7.306285714</v>
      </c>
    </row>
    <row r="318" ht="25.5" customHeight="1">
      <c r="A318" s="13" t="s">
        <v>632</v>
      </c>
      <c r="B318" s="8"/>
      <c r="C318" s="14" t="s">
        <v>633</v>
      </c>
      <c r="D318" s="7">
        <f>D316+(((D1194-D316)/2)*1)</f>
        <v>28.29542857</v>
      </c>
    </row>
    <row r="319" ht="25.5" customHeight="1">
      <c r="A319" s="13" t="s">
        <v>634</v>
      </c>
      <c r="B319" s="11"/>
      <c r="C319" s="15" t="s">
        <v>635</v>
      </c>
      <c r="D319" s="7">
        <v>6.184</v>
      </c>
      <c r="E319" s="10" t="s">
        <v>636</v>
      </c>
    </row>
    <row r="320" ht="25.5" customHeight="1">
      <c r="A320" s="4" t="s">
        <v>637</v>
      </c>
      <c r="B320" s="16" t="s">
        <v>638</v>
      </c>
      <c r="C320" s="6" t="s">
        <v>197</v>
      </c>
      <c r="D320" s="7">
        <f>D2270+(((D2927-D2270)/10)*7)</f>
        <v>0</v>
      </c>
    </row>
    <row r="321" ht="25.5" customHeight="1">
      <c r="A321" s="4" t="s">
        <v>639</v>
      </c>
      <c r="B321" s="5" t="s">
        <v>640</v>
      </c>
      <c r="C321" s="6" t="s">
        <v>641</v>
      </c>
      <c r="D321" s="7">
        <f>AVERAGE(D322,D323)</f>
        <v>0</v>
      </c>
    </row>
    <row r="322" ht="25.5" customHeight="1">
      <c r="A322" s="4" t="s">
        <v>642</v>
      </c>
      <c r="B322" s="8"/>
      <c r="C322" s="6" t="s">
        <v>643</v>
      </c>
      <c r="D322" s="7">
        <f>D2270+(((D2927-D2270)/10)*1)</f>
        <v>0</v>
      </c>
    </row>
    <row r="323" ht="25.5" customHeight="1">
      <c r="A323" s="4" t="s">
        <v>644</v>
      </c>
      <c r="B323" s="11"/>
      <c r="C323" s="9" t="s">
        <v>645</v>
      </c>
      <c r="D323" s="7">
        <v>0.0</v>
      </c>
      <c r="E323" s="10" t="s">
        <v>646</v>
      </c>
    </row>
    <row r="324" ht="25.5" customHeight="1">
      <c r="A324" s="4" t="s">
        <v>647</v>
      </c>
      <c r="B324" s="5" t="s">
        <v>648</v>
      </c>
      <c r="C324" s="6" t="s">
        <v>649</v>
      </c>
      <c r="D324" s="7">
        <f>D421+(((D351-D421)/20)*15)</f>
        <v>23.81567857</v>
      </c>
    </row>
    <row r="325" ht="25.5" customHeight="1">
      <c r="A325" s="4" t="s">
        <v>650</v>
      </c>
      <c r="B325" s="8"/>
      <c r="C325" s="6" t="s">
        <v>651</v>
      </c>
      <c r="D325" s="7">
        <f>D335+(((D338-D335)/2)*1)</f>
        <v>31.57555</v>
      </c>
    </row>
    <row r="326" ht="25.5" customHeight="1">
      <c r="A326" s="4" t="s">
        <v>652</v>
      </c>
      <c r="B326" s="8"/>
      <c r="C326" s="6" t="s">
        <v>653</v>
      </c>
      <c r="D326" s="7">
        <f>AVERAGE(D389,D390)</f>
        <v>104.396</v>
      </c>
    </row>
    <row r="327" ht="25.5" customHeight="1">
      <c r="A327" s="4" t="s">
        <v>654</v>
      </c>
      <c r="B327" s="8"/>
      <c r="C327" s="6" t="s">
        <v>655</v>
      </c>
      <c r="D327" s="7">
        <f>AVERAGE(D325,D324)</f>
        <v>27.69561429</v>
      </c>
    </row>
    <row r="328" ht="25.5" customHeight="1">
      <c r="A328" s="4" t="s">
        <v>656</v>
      </c>
      <c r="B328" s="8"/>
      <c r="C328" s="6" t="s">
        <v>657</v>
      </c>
      <c r="D328" s="12">
        <f>D1755+(((D365-D1755)/28)*25)</f>
        <v>48.01785714</v>
      </c>
    </row>
    <row r="329" ht="25.5" customHeight="1">
      <c r="A329" s="4" t="s">
        <v>658</v>
      </c>
      <c r="B329" s="8"/>
      <c r="C329" s="6" t="s">
        <v>659</v>
      </c>
      <c r="D329" s="7">
        <f>D366+(((D373-D366)/2)*1)</f>
        <v>56.79</v>
      </c>
    </row>
    <row r="330" ht="25.5" customHeight="1">
      <c r="A330" s="4" t="s">
        <v>660</v>
      </c>
      <c r="B330" s="8"/>
      <c r="C330" s="6" t="s">
        <v>82</v>
      </c>
      <c r="D330" s="7">
        <f>D354</f>
        <v>79.852</v>
      </c>
    </row>
    <row r="331" ht="25.5" customHeight="1">
      <c r="A331" s="4" t="s">
        <v>661</v>
      </c>
      <c r="B331" s="8"/>
      <c r="C331" s="6" t="s">
        <v>662</v>
      </c>
      <c r="D331" s="7">
        <f>D366+(((D375-D366)/7)*4)</f>
        <v>40.73142857</v>
      </c>
    </row>
    <row r="332" ht="25.5" customHeight="1">
      <c r="A332" s="4" t="s">
        <v>663</v>
      </c>
      <c r="B332" s="8"/>
      <c r="C332" s="6" t="s">
        <v>664</v>
      </c>
      <c r="D332" s="7">
        <f>AVERAGE(D349,D383,D364)</f>
        <v>25.81483571</v>
      </c>
    </row>
    <row r="333" ht="25.5" customHeight="1">
      <c r="A333" s="4" t="s">
        <v>665</v>
      </c>
      <c r="B333" s="8"/>
      <c r="C333" s="6" t="s">
        <v>94</v>
      </c>
      <c r="D333" s="7">
        <f>AVERAGE(D338,D381)</f>
        <v>41.29535714</v>
      </c>
    </row>
    <row r="334" ht="25.5" customHeight="1">
      <c r="A334" s="4" t="s">
        <v>666</v>
      </c>
      <c r="B334" s="8"/>
      <c r="C334" s="6" t="s">
        <v>667</v>
      </c>
      <c r="D334" s="7">
        <f>D366+(((D375-D366)/7)*2)</f>
        <v>50.26571429</v>
      </c>
    </row>
    <row r="335" ht="25.5" customHeight="1">
      <c r="A335" s="4" t="s">
        <v>668</v>
      </c>
      <c r="B335" s="8"/>
      <c r="C335" s="6" t="s">
        <v>228</v>
      </c>
      <c r="D335" s="7">
        <f>D421+(((D351-D421)/20)*14)</f>
        <v>22.8161</v>
      </c>
    </row>
    <row r="336" ht="25.5" customHeight="1">
      <c r="A336" s="4" t="s">
        <v>669</v>
      </c>
      <c r="B336" s="8"/>
      <c r="C336" s="6" t="s">
        <v>670</v>
      </c>
      <c r="D336" s="7">
        <f>AVERAGE(D331,D379,D363)</f>
        <v>35.96428571</v>
      </c>
    </row>
    <row r="337" ht="25.5" customHeight="1">
      <c r="A337" s="4" t="s">
        <v>671</v>
      </c>
      <c r="B337" s="8"/>
      <c r="C337" s="6" t="s">
        <v>672</v>
      </c>
      <c r="D337" s="7">
        <f>AVERAGE(D385,D356,D343,D360)</f>
        <v>39.43898185</v>
      </c>
    </row>
    <row r="338" ht="25.5" customHeight="1">
      <c r="A338" s="4" t="s">
        <v>673</v>
      </c>
      <c r="B338" s="8"/>
      <c r="C338" s="6" t="s">
        <v>674</v>
      </c>
      <c r="D338" s="12">
        <f>D1755+(((D365-D1755)/28)*21)</f>
        <v>40.335</v>
      </c>
    </row>
    <row r="339" ht="25.5" customHeight="1">
      <c r="A339" s="4" t="s">
        <v>675</v>
      </c>
      <c r="B339" s="8"/>
      <c r="C339" s="6" t="s">
        <v>120</v>
      </c>
      <c r="D339" s="12">
        <f>D1549+(((D342-D1549)/10)*3)</f>
        <v>153.484</v>
      </c>
    </row>
    <row r="340" ht="25.5" customHeight="1">
      <c r="A340" s="4" t="s">
        <v>676</v>
      </c>
      <c r="B340" s="8"/>
      <c r="C340" s="6" t="s">
        <v>677</v>
      </c>
      <c r="D340" s="12">
        <f>D1755+(((D365-D1755)/28)*23)</f>
        <v>44.17642857</v>
      </c>
    </row>
    <row r="341" ht="25.5" customHeight="1">
      <c r="A341" s="4" t="s">
        <v>678</v>
      </c>
      <c r="B341" s="8"/>
      <c r="C341" s="6" t="s">
        <v>126</v>
      </c>
      <c r="D341" s="7">
        <f>D388</f>
        <v>67.58</v>
      </c>
    </row>
    <row r="342" ht="25.5" customHeight="1">
      <c r="A342" s="4" t="s">
        <v>679</v>
      </c>
      <c r="B342" s="8"/>
      <c r="C342" s="6" t="s">
        <v>680</v>
      </c>
      <c r="D342" s="7">
        <f>D359</f>
        <v>67.58</v>
      </c>
      <c r="E342" s="13" t="s">
        <v>681</v>
      </c>
    </row>
    <row r="343" ht="25.5" customHeight="1">
      <c r="A343" s="4" t="s">
        <v>682</v>
      </c>
      <c r="B343" s="8"/>
      <c r="C343" s="6" t="s">
        <v>683</v>
      </c>
      <c r="D343" s="7">
        <f>AVERAGE(D324,D335,D384)</f>
        <v>28.12305952</v>
      </c>
    </row>
    <row r="344" ht="25.5" customHeight="1">
      <c r="A344" s="4" t="s">
        <v>684</v>
      </c>
      <c r="B344" s="8"/>
      <c r="C344" s="6" t="s">
        <v>685</v>
      </c>
      <c r="D344" s="7">
        <f>D331</f>
        <v>40.73142857</v>
      </c>
    </row>
    <row r="345" ht="25.5" customHeight="1">
      <c r="A345" s="4" t="s">
        <v>686</v>
      </c>
      <c r="B345" s="8"/>
      <c r="C345" s="6" t="s">
        <v>687</v>
      </c>
      <c r="D345" s="7">
        <f>AVERAGE(D326,D330,D361,D341)</f>
        <v>79.852</v>
      </c>
    </row>
    <row r="346" ht="25.5" customHeight="1">
      <c r="A346" s="4" t="s">
        <v>688</v>
      </c>
      <c r="B346" s="8"/>
      <c r="C346" s="6" t="s">
        <v>689</v>
      </c>
      <c r="D346" s="7">
        <f>D421+(((D351-D421)/20)*13)</f>
        <v>21.81652143</v>
      </c>
    </row>
    <row r="347" ht="25.5" customHeight="1">
      <c r="A347" s="4" t="s">
        <v>690</v>
      </c>
      <c r="B347" s="8"/>
      <c r="C347" s="6" t="s">
        <v>691</v>
      </c>
      <c r="D347" s="7">
        <f>AVERAGE(D363,D376)</f>
        <v>33.5997619</v>
      </c>
    </row>
    <row r="348" ht="25.5" customHeight="1">
      <c r="A348" s="4" t="s">
        <v>692</v>
      </c>
      <c r="B348" s="8"/>
      <c r="C348" s="6" t="s">
        <v>693</v>
      </c>
      <c r="D348" s="7">
        <f>AVERAGE(D373,D329,D334,D358)</f>
        <v>51.58357143</v>
      </c>
    </row>
    <row r="349" ht="25.5" customHeight="1">
      <c r="A349" s="4" t="s">
        <v>694</v>
      </c>
      <c r="B349" s="8"/>
      <c r="C349" s="6" t="s">
        <v>695</v>
      </c>
      <c r="D349" s="7">
        <f>D421+(((D351-D421)/20)*18)</f>
        <v>26.81441429</v>
      </c>
    </row>
    <row r="350" ht="25.5" customHeight="1">
      <c r="A350" s="4" t="s">
        <v>696</v>
      </c>
      <c r="B350" s="8"/>
      <c r="C350" s="6" t="s">
        <v>697</v>
      </c>
      <c r="D350" s="7">
        <f>D376</f>
        <v>36.00238095</v>
      </c>
    </row>
    <row r="351" ht="25.5" customHeight="1">
      <c r="A351" s="4" t="s">
        <v>698</v>
      </c>
      <c r="B351" s="8"/>
      <c r="C351" s="6" t="s">
        <v>699</v>
      </c>
      <c r="D351" s="7">
        <f>AVERAGE(D375,D363)</f>
        <v>28.81357143</v>
      </c>
    </row>
    <row r="352" ht="25.5" customHeight="1">
      <c r="A352" s="4" t="s">
        <v>700</v>
      </c>
      <c r="B352" s="8"/>
      <c r="C352" s="6" t="s">
        <v>701</v>
      </c>
      <c r="D352" s="12">
        <f>D1549+(((D342-D1549)/10)*7)</f>
        <v>104.396</v>
      </c>
    </row>
    <row r="353" ht="25.5" customHeight="1">
      <c r="A353" s="4" t="s">
        <v>702</v>
      </c>
      <c r="B353" s="8"/>
      <c r="C353" s="6" t="s">
        <v>703</v>
      </c>
      <c r="D353" s="12">
        <f>D1755+(((D365-D1755)/28)*26)</f>
        <v>49.93857143</v>
      </c>
    </row>
    <row r="354" ht="25.5" customHeight="1">
      <c r="A354" s="4" t="s">
        <v>704</v>
      </c>
      <c r="B354" s="8"/>
      <c r="C354" s="6" t="s">
        <v>138</v>
      </c>
      <c r="D354" s="12">
        <f>D1549+(((D342-D1549)/10)*9)</f>
        <v>79.852</v>
      </c>
    </row>
    <row r="355" ht="25.5" customHeight="1">
      <c r="A355" s="4" t="s">
        <v>705</v>
      </c>
      <c r="B355" s="8"/>
      <c r="C355" s="6" t="s">
        <v>140</v>
      </c>
      <c r="D355" s="7">
        <f>D359</f>
        <v>67.58</v>
      </c>
      <c r="E355" s="13" t="s">
        <v>681</v>
      </c>
    </row>
    <row r="356" ht="25.5" customHeight="1">
      <c r="A356" s="4" t="s">
        <v>706</v>
      </c>
      <c r="B356" s="8"/>
      <c r="C356" s="6" t="s">
        <v>269</v>
      </c>
      <c r="D356" s="7">
        <f>AVERAGE(D384,D362)</f>
        <v>45.19805</v>
      </c>
    </row>
    <row r="357" ht="25.5" customHeight="1">
      <c r="A357" s="4" t="s">
        <v>707</v>
      </c>
      <c r="B357" s="8"/>
      <c r="C357" s="6" t="s">
        <v>402</v>
      </c>
      <c r="D357" s="7">
        <f>AVERAGE(D371,D376,D383,D364,D387,D380)</f>
        <v>38.55803135</v>
      </c>
    </row>
    <row r="358" ht="25.5" customHeight="1">
      <c r="A358" s="4" t="s">
        <v>708</v>
      </c>
      <c r="B358" s="8"/>
      <c r="C358" s="6" t="s">
        <v>149</v>
      </c>
      <c r="D358" s="7">
        <f>D366+(((D375-D366)/7)*3)</f>
        <v>45.49857143</v>
      </c>
    </row>
    <row r="359" ht="25.5" customHeight="1">
      <c r="A359" s="4" t="s">
        <v>709</v>
      </c>
      <c r="B359" s="8"/>
      <c r="C359" s="9" t="s">
        <v>710</v>
      </c>
      <c r="D359" s="7">
        <v>67.58</v>
      </c>
      <c r="E359" s="10" t="s">
        <v>681</v>
      </c>
    </row>
    <row r="360" ht="25.5" customHeight="1">
      <c r="A360" s="4" t="s">
        <v>711</v>
      </c>
      <c r="B360" s="8"/>
      <c r="C360" s="6" t="s">
        <v>712</v>
      </c>
      <c r="D360" s="7">
        <f>AVERAGE(D364,D324)</f>
        <v>24.31546786</v>
      </c>
    </row>
    <row r="361" ht="25.5" customHeight="1">
      <c r="A361" s="4" t="s">
        <v>713</v>
      </c>
      <c r="B361" s="8"/>
      <c r="C361" s="6" t="s">
        <v>714</v>
      </c>
      <c r="D361" s="7">
        <f>AVERAGE(D342,D359,D388)</f>
        <v>67.58</v>
      </c>
    </row>
    <row r="362" ht="25.5" customHeight="1">
      <c r="A362" s="4" t="s">
        <v>715</v>
      </c>
      <c r="B362" s="8"/>
      <c r="C362" s="6" t="s">
        <v>157</v>
      </c>
      <c r="D362" s="7">
        <f>D355+(((D335-D355)/3)*1)</f>
        <v>52.6587</v>
      </c>
    </row>
    <row r="363" ht="25.5" customHeight="1">
      <c r="A363" s="4" t="s">
        <v>716</v>
      </c>
      <c r="B363" s="8"/>
      <c r="C363" s="6" t="s">
        <v>717</v>
      </c>
      <c r="D363" s="7">
        <f>D366+(((D375-D366)/7)*6)</f>
        <v>31.19714286</v>
      </c>
    </row>
    <row r="364" ht="25.5" customHeight="1">
      <c r="A364" s="4" t="s">
        <v>718</v>
      </c>
      <c r="B364" s="8"/>
      <c r="C364" s="6" t="s">
        <v>161</v>
      </c>
      <c r="D364" s="7">
        <f>D421+(((D351-D421)/20)*16)</f>
        <v>24.81525714</v>
      </c>
    </row>
    <row r="365" ht="25.5" customHeight="1">
      <c r="A365" s="4" t="s">
        <v>719</v>
      </c>
      <c r="B365" s="8"/>
      <c r="C365" s="6" t="s">
        <v>720</v>
      </c>
      <c r="D365" s="7">
        <f>D373</f>
        <v>53.78</v>
      </c>
      <c r="E365" s="13" t="s">
        <v>721</v>
      </c>
    </row>
    <row r="366" ht="25.5" customHeight="1">
      <c r="A366" s="4" t="s">
        <v>722</v>
      </c>
      <c r="B366" s="8"/>
      <c r="C366" s="9" t="s">
        <v>723</v>
      </c>
      <c r="D366" s="7">
        <v>59.8</v>
      </c>
      <c r="E366" s="10" t="s">
        <v>724</v>
      </c>
    </row>
    <row r="367" ht="25.5" customHeight="1">
      <c r="A367" s="4" t="s">
        <v>725</v>
      </c>
      <c r="B367" s="8"/>
      <c r="C367" s="6" t="s">
        <v>167</v>
      </c>
      <c r="D367" s="7">
        <f>AVERAGE(D366,D334)</f>
        <v>55.03285714</v>
      </c>
    </row>
    <row r="368" ht="25.5" customHeight="1">
      <c r="A368" s="4" t="s">
        <v>726</v>
      </c>
      <c r="B368" s="8"/>
      <c r="C368" s="6" t="s">
        <v>727</v>
      </c>
      <c r="D368" s="12">
        <f>D1755+(((D365-D1755)/28)*20)</f>
        <v>38.41428571</v>
      </c>
    </row>
    <row r="369" ht="25.5" customHeight="1">
      <c r="A369" s="4" t="s">
        <v>728</v>
      </c>
      <c r="B369" s="8"/>
      <c r="C369" s="6" t="s">
        <v>729</v>
      </c>
      <c r="D369" s="12">
        <f>D1549+(((D342-D1549)/10)*5)</f>
        <v>128.94</v>
      </c>
    </row>
    <row r="370" ht="25.5" customHeight="1">
      <c r="A370" s="4" t="s">
        <v>730</v>
      </c>
      <c r="B370" s="8"/>
      <c r="C370" s="6" t="s">
        <v>731</v>
      </c>
      <c r="D370" s="7">
        <f>AVERAGE(D372,D353,D382,D365)</f>
        <v>49.6922619</v>
      </c>
    </row>
    <row r="371" ht="25.5" customHeight="1">
      <c r="A371" s="4" t="s">
        <v>732</v>
      </c>
      <c r="B371" s="8"/>
      <c r="C371" s="9" t="s">
        <v>430</v>
      </c>
      <c r="D371" s="7">
        <v>50.38</v>
      </c>
      <c r="E371" s="10" t="s">
        <v>733</v>
      </c>
    </row>
    <row r="372" ht="25.5" customHeight="1">
      <c r="A372" s="4" t="s">
        <v>734</v>
      </c>
      <c r="B372" s="8"/>
      <c r="C372" s="6" t="s">
        <v>735</v>
      </c>
      <c r="D372" s="7">
        <f>D351+(((D371-D351)/3)*2)</f>
        <v>43.19119048</v>
      </c>
    </row>
    <row r="373" ht="25.5" customHeight="1">
      <c r="A373" s="4" t="s">
        <v>736</v>
      </c>
      <c r="B373" s="8"/>
      <c r="C373" s="9" t="s">
        <v>737</v>
      </c>
      <c r="D373" s="7">
        <v>53.78</v>
      </c>
      <c r="E373" s="10" t="s">
        <v>721</v>
      </c>
    </row>
    <row r="374" ht="25.5" customHeight="1">
      <c r="A374" s="4" t="s">
        <v>738</v>
      </c>
      <c r="B374" s="8"/>
      <c r="C374" s="6" t="s">
        <v>739</v>
      </c>
      <c r="D374" s="7">
        <f>D421+(((D351-D421)/20)*19)</f>
        <v>27.81399286</v>
      </c>
    </row>
    <row r="375" ht="25.5" customHeight="1">
      <c r="A375" s="4" t="s">
        <v>740</v>
      </c>
      <c r="B375" s="8"/>
      <c r="C375" s="9" t="s">
        <v>741</v>
      </c>
      <c r="D375" s="7">
        <v>26.43</v>
      </c>
      <c r="E375" s="10" t="s">
        <v>742</v>
      </c>
    </row>
    <row r="376" ht="25.5" customHeight="1">
      <c r="A376" s="4" t="s">
        <v>743</v>
      </c>
      <c r="B376" s="8"/>
      <c r="C376" s="6" t="s">
        <v>301</v>
      </c>
      <c r="D376" s="7">
        <f>D351+(((D371-D351)/3)*1)</f>
        <v>36.00238095</v>
      </c>
    </row>
    <row r="377" ht="25.5" customHeight="1">
      <c r="A377" s="4" t="s">
        <v>744</v>
      </c>
      <c r="B377" s="8"/>
      <c r="C377" s="6" t="s">
        <v>745</v>
      </c>
      <c r="D377" s="7">
        <f>AVERAGE(D381,D340,D387,D364,D324)</f>
        <v>36.23204429</v>
      </c>
    </row>
    <row r="378" ht="25.5" customHeight="1">
      <c r="A378" s="4" t="s">
        <v>746</v>
      </c>
      <c r="B378" s="8"/>
      <c r="C378" s="6" t="s">
        <v>476</v>
      </c>
      <c r="D378" s="12">
        <f>D1549+(((D342-D1549)/10)*4)</f>
        <v>141.212</v>
      </c>
    </row>
    <row r="379" ht="25.5" customHeight="1">
      <c r="A379" s="4" t="s">
        <v>747</v>
      </c>
      <c r="B379" s="8"/>
      <c r="C379" s="6" t="s">
        <v>748</v>
      </c>
      <c r="D379" s="7">
        <f>D366+(((D375-D366)/7)*5)</f>
        <v>35.96428571</v>
      </c>
    </row>
    <row r="380" ht="25.5" customHeight="1">
      <c r="A380" s="4" t="s">
        <v>749</v>
      </c>
      <c r="B380" s="8"/>
      <c r="C380" s="6" t="s">
        <v>750</v>
      </c>
      <c r="D380" s="7">
        <f>D387+(((D371-D387)/2)*1)</f>
        <v>48.23857143</v>
      </c>
    </row>
    <row r="381" ht="25.5" customHeight="1">
      <c r="A381" s="4" t="s">
        <v>751</v>
      </c>
      <c r="B381" s="8"/>
      <c r="C381" s="6" t="s">
        <v>752</v>
      </c>
      <c r="D381" s="12">
        <f>D1755+(((D365-D1755)/28)*22)</f>
        <v>42.25571429</v>
      </c>
    </row>
    <row r="382" ht="25.5" customHeight="1">
      <c r="A382" s="4" t="s">
        <v>753</v>
      </c>
      <c r="B382" s="8"/>
      <c r="C382" s="6" t="s">
        <v>754</v>
      </c>
      <c r="D382" s="12">
        <f>D1755+(((D365-D1755)/28)*27)</f>
        <v>51.85928571</v>
      </c>
    </row>
    <row r="383" ht="25.5" customHeight="1">
      <c r="A383" s="4" t="s">
        <v>755</v>
      </c>
      <c r="B383" s="8"/>
      <c r="C383" s="6" t="s">
        <v>187</v>
      </c>
      <c r="D383" s="7">
        <f>D421+(((D351-D421)/20)*17)</f>
        <v>25.81483571</v>
      </c>
    </row>
    <row r="384" ht="25.5" customHeight="1">
      <c r="A384" s="4" t="s">
        <v>756</v>
      </c>
      <c r="B384" s="8"/>
      <c r="C384" s="6" t="s">
        <v>757</v>
      </c>
      <c r="D384" s="7">
        <f>D355+(((D335-D355)/3)*2)</f>
        <v>37.7374</v>
      </c>
    </row>
    <row r="385" ht="25.5" customHeight="1">
      <c r="A385" s="4" t="s">
        <v>758</v>
      </c>
      <c r="B385" s="8"/>
      <c r="C385" s="6" t="s">
        <v>759</v>
      </c>
      <c r="D385" s="7">
        <f>AVERAGE(D362,D355)</f>
        <v>60.11935</v>
      </c>
    </row>
    <row r="386" ht="25.5" customHeight="1">
      <c r="A386" s="4" t="s">
        <v>760</v>
      </c>
      <c r="B386" s="8"/>
      <c r="C386" s="6" t="s">
        <v>326</v>
      </c>
      <c r="D386" s="7">
        <f>AVERAGE(D324,D335,D325)</f>
        <v>26.06910952</v>
      </c>
    </row>
    <row r="387" ht="25.5" customHeight="1">
      <c r="A387" s="4" t="s">
        <v>761</v>
      </c>
      <c r="B387" s="8"/>
      <c r="C387" s="6" t="s">
        <v>762</v>
      </c>
      <c r="D387" s="12">
        <f>D1755+(((D365-D1755)/28)*24)</f>
        <v>46.09714286</v>
      </c>
    </row>
    <row r="388" ht="25.5" customHeight="1">
      <c r="A388" s="4" t="s">
        <v>763</v>
      </c>
      <c r="B388" s="8"/>
      <c r="C388" s="6" t="s">
        <v>764</v>
      </c>
      <c r="D388" s="7">
        <f>D359</f>
        <v>67.58</v>
      </c>
      <c r="E388" s="13" t="s">
        <v>681</v>
      </c>
    </row>
    <row r="389" ht="25.5" customHeight="1">
      <c r="A389" s="4" t="s">
        <v>765</v>
      </c>
      <c r="B389" s="8"/>
      <c r="C389" s="6" t="s">
        <v>766</v>
      </c>
      <c r="D389" s="12">
        <f>D1549+(((D342-D1549)/10)*6)</f>
        <v>116.668</v>
      </c>
    </row>
    <row r="390" ht="25.5" customHeight="1">
      <c r="A390" s="4" t="s">
        <v>767</v>
      </c>
      <c r="B390" s="11"/>
      <c r="C390" s="6" t="s">
        <v>197</v>
      </c>
      <c r="D390" s="12">
        <f>D1549+(((D342-D1549)/10)*8)</f>
        <v>92.124</v>
      </c>
    </row>
    <row r="391" ht="25.5" customHeight="1">
      <c r="A391" s="4" t="s">
        <v>768</v>
      </c>
      <c r="B391" s="5" t="s">
        <v>769</v>
      </c>
      <c r="C391" s="6" t="s">
        <v>770</v>
      </c>
      <c r="D391" s="7">
        <f>AVERAGE(D528,D522,D541)</f>
        <v>26.90502434</v>
      </c>
    </row>
    <row r="392" ht="25.5" customHeight="1">
      <c r="A392" s="4" t="s">
        <v>771</v>
      </c>
      <c r="B392" s="8"/>
      <c r="C392" s="6" t="s">
        <v>772</v>
      </c>
      <c r="D392" s="7">
        <f>AVERAGE(D538,D422,D476,D400)</f>
        <v>23.75648929</v>
      </c>
    </row>
    <row r="393" ht="25.5" customHeight="1">
      <c r="A393" s="4" t="s">
        <v>773</v>
      </c>
      <c r="B393" s="8"/>
      <c r="C393" s="6" t="s">
        <v>774</v>
      </c>
      <c r="D393" s="7">
        <f>D538</f>
        <v>31.57555</v>
      </c>
    </row>
    <row r="394" ht="25.5" customHeight="1">
      <c r="A394" s="4" t="s">
        <v>775</v>
      </c>
      <c r="B394" s="8"/>
      <c r="C394" s="6" t="s">
        <v>651</v>
      </c>
      <c r="D394" s="7">
        <f>AVERAGE(D437,D491,D490,D439)</f>
        <v>54.84034089</v>
      </c>
    </row>
    <row r="395" ht="25.5" customHeight="1">
      <c r="A395" s="4" t="s">
        <v>776</v>
      </c>
      <c r="B395" s="8"/>
      <c r="C395" s="6" t="s">
        <v>70</v>
      </c>
      <c r="D395" s="7">
        <f>AVERAGE(D548,D474,D507,D460)</f>
        <v>14.13812841</v>
      </c>
    </row>
    <row r="396" ht="25.5" customHeight="1">
      <c r="A396" s="4" t="s">
        <v>777</v>
      </c>
      <c r="B396" s="8"/>
      <c r="C396" s="6" t="s">
        <v>778</v>
      </c>
      <c r="D396" s="12">
        <f>D2903+(((D434-D2903)/29)*25)</f>
        <v>11.60344828</v>
      </c>
    </row>
    <row r="397" ht="25.5" customHeight="1">
      <c r="A397" s="4" t="s">
        <v>779</v>
      </c>
      <c r="B397" s="8"/>
      <c r="C397" s="6" t="s">
        <v>780</v>
      </c>
      <c r="D397" s="12">
        <f>D2903+(((D434-D2903)/29)*27)</f>
        <v>12.53172414</v>
      </c>
    </row>
    <row r="398" ht="25.5" customHeight="1">
      <c r="A398" s="4" t="s">
        <v>781</v>
      </c>
      <c r="B398" s="8"/>
      <c r="C398" s="6" t="s">
        <v>782</v>
      </c>
      <c r="D398" s="7">
        <f>D413+(((D423-D413)/4)*3)</f>
        <v>14.00975</v>
      </c>
    </row>
    <row r="399" ht="25.5" customHeight="1">
      <c r="A399" s="4" t="s">
        <v>783</v>
      </c>
      <c r="B399" s="8"/>
      <c r="C399" s="6" t="s">
        <v>784</v>
      </c>
      <c r="D399" s="7">
        <f>D532</f>
        <v>17.81820714</v>
      </c>
    </row>
    <row r="400" ht="25.5" customHeight="1">
      <c r="A400" s="4" t="s">
        <v>785</v>
      </c>
      <c r="B400" s="8"/>
      <c r="C400" s="6" t="s">
        <v>786</v>
      </c>
      <c r="D400" s="7">
        <f>AVERAGE(D527,D427,D482)</f>
        <v>19.81736429</v>
      </c>
    </row>
    <row r="401" ht="25.5" customHeight="1">
      <c r="A401" s="4" t="s">
        <v>787</v>
      </c>
      <c r="B401" s="8"/>
      <c r="C401" s="6" t="s">
        <v>74</v>
      </c>
      <c r="D401" s="7">
        <f>D421+(((D351-D421)/20)*4)</f>
        <v>12.82031429</v>
      </c>
    </row>
    <row r="402" ht="25.5" customHeight="1">
      <c r="A402" s="4" t="s">
        <v>788</v>
      </c>
      <c r="B402" s="8"/>
      <c r="C402" s="6" t="s">
        <v>789</v>
      </c>
      <c r="D402" s="7">
        <f>D401+(((D415-D401)/9)*2)</f>
        <v>15.94691111</v>
      </c>
    </row>
    <row r="403" ht="25.5" customHeight="1">
      <c r="A403" s="4" t="s">
        <v>790</v>
      </c>
      <c r="B403" s="8"/>
      <c r="C403" s="6" t="s">
        <v>791</v>
      </c>
      <c r="D403" s="7">
        <f>AVERAGE(D410,D453)</f>
        <v>35.53321429</v>
      </c>
    </row>
    <row r="404" ht="25.5" customHeight="1">
      <c r="A404" s="4" t="s">
        <v>792</v>
      </c>
      <c r="B404" s="8"/>
      <c r="C404" s="6" t="s">
        <v>793</v>
      </c>
      <c r="D404" s="7">
        <f>AVERAGE(D482,D362,D355)</f>
        <v>47.01854762</v>
      </c>
    </row>
    <row r="405" ht="25.5" customHeight="1">
      <c r="A405" s="4" t="s">
        <v>794</v>
      </c>
      <c r="B405" s="8"/>
      <c r="C405" s="6" t="s">
        <v>795</v>
      </c>
      <c r="D405" s="12">
        <f>D1755+(((D365-D1755)/28)*15)</f>
        <v>28.81071429</v>
      </c>
    </row>
    <row r="406" ht="25.5" customHeight="1">
      <c r="A406" s="4" t="s">
        <v>796</v>
      </c>
      <c r="B406" s="8"/>
      <c r="C406" s="6" t="s">
        <v>797</v>
      </c>
      <c r="D406" s="7">
        <f>D401+(((D415-D401)/9)*7)</f>
        <v>23.76340317</v>
      </c>
    </row>
    <row r="407" ht="25.5" customHeight="1">
      <c r="A407" s="4" t="s">
        <v>798</v>
      </c>
      <c r="B407" s="8"/>
      <c r="C407" s="6" t="s">
        <v>799</v>
      </c>
      <c r="D407" s="7">
        <f>AVERAGE(D511,D443)</f>
        <v>17.40701699</v>
      </c>
    </row>
    <row r="408" ht="25.5" customHeight="1">
      <c r="A408" s="4" t="s">
        <v>800</v>
      </c>
      <c r="B408" s="8"/>
      <c r="C408" s="6" t="s">
        <v>801</v>
      </c>
      <c r="D408" s="7">
        <f>D421+(((D351-D421)/20)*2)</f>
        <v>10.82115714</v>
      </c>
    </row>
    <row r="409" ht="25.5" customHeight="1">
      <c r="A409" s="4" t="s">
        <v>802</v>
      </c>
      <c r="B409" s="8"/>
      <c r="C409" s="6" t="s">
        <v>82</v>
      </c>
      <c r="D409" s="7">
        <f>AVERAGE(D525,D437,D439)</f>
        <v>37.99634881</v>
      </c>
    </row>
    <row r="410" ht="25.5" customHeight="1">
      <c r="A410" s="4" t="s">
        <v>803</v>
      </c>
      <c r="B410" s="8"/>
      <c r="C410" s="6" t="s">
        <v>804</v>
      </c>
      <c r="D410" s="12">
        <f>D1755+(((D365-D1755)/28)*19)</f>
        <v>36.49357143</v>
      </c>
    </row>
    <row r="411" ht="25.5" customHeight="1">
      <c r="A411" s="4" t="s">
        <v>805</v>
      </c>
      <c r="B411" s="8"/>
      <c r="C411" s="6" t="s">
        <v>806</v>
      </c>
      <c r="D411" s="7">
        <f>D401+(((D415-D401)/9)*6)</f>
        <v>22.20010476</v>
      </c>
    </row>
    <row r="412" ht="25.5" customHeight="1">
      <c r="A412" s="4" t="s">
        <v>807</v>
      </c>
      <c r="B412" s="8"/>
      <c r="C412" s="6" t="s">
        <v>218</v>
      </c>
      <c r="D412" s="7">
        <f>D90+(((D423-D90)/7)*5)</f>
        <v>24.06965714</v>
      </c>
    </row>
    <row r="413" ht="25.5" customHeight="1">
      <c r="A413" s="4" t="s">
        <v>808</v>
      </c>
      <c r="B413" s="8"/>
      <c r="C413" s="6" t="s">
        <v>809</v>
      </c>
      <c r="D413" s="7">
        <f>D2464</f>
        <v>6.959</v>
      </c>
      <c r="E413" s="13" t="s">
        <v>810</v>
      </c>
    </row>
    <row r="414" ht="25.5" customHeight="1">
      <c r="A414" s="4" t="s">
        <v>811</v>
      </c>
      <c r="B414" s="8"/>
      <c r="C414" s="6" t="s">
        <v>812</v>
      </c>
      <c r="D414" s="7">
        <f>AVERAGE(D325,D368,D410)</f>
        <v>35.49446905</v>
      </c>
    </row>
    <row r="415" ht="25.5" customHeight="1">
      <c r="A415" s="4" t="s">
        <v>813</v>
      </c>
      <c r="B415" s="8"/>
      <c r="C415" s="6" t="s">
        <v>814</v>
      </c>
      <c r="D415" s="12">
        <f>D1755+(((D365-D1755)/28)*14)</f>
        <v>26.89</v>
      </c>
    </row>
    <row r="416" ht="25.5" customHeight="1">
      <c r="A416" s="4" t="s">
        <v>815</v>
      </c>
      <c r="B416" s="8"/>
      <c r="C416" s="6" t="s">
        <v>816</v>
      </c>
      <c r="D416" s="7">
        <f>D496</f>
        <v>26.26</v>
      </c>
    </row>
    <row r="417" ht="25.5" customHeight="1">
      <c r="A417" s="4" t="s">
        <v>817</v>
      </c>
      <c r="B417" s="8"/>
      <c r="C417" s="6" t="s">
        <v>818</v>
      </c>
      <c r="D417" s="7">
        <f>D536</f>
        <v>6.959</v>
      </c>
    </row>
    <row r="418" ht="25.5" customHeight="1">
      <c r="A418" s="4" t="s">
        <v>819</v>
      </c>
      <c r="B418" s="8"/>
      <c r="C418" s="9" t="s">
        <v>86</v>
      </c>
      <c r="D418" s="7">
        <v>0.0</v>
      </c>
      <c r="E418" s="10" t="s">
        <v>820</v>
      </c>
    </row>
    <row r="419" ht="25.5" customHeight="1">
      <c r="A419" s="4" t="s">
        <v>821</v>
      </c>
      <c r="B419" s="8"/>
      <c r="C419" s="6" t="s">
        <v>92</v>
      </c>
      <c r="D419" s="7">
        <f>D468</f>
        <v>12.06758621</v>
      </c>
    </row>
    <row r="420" ht="25.5" customHeight="1">
      <c r="A420" s="4" t="s">
        <v>822</v>
      </c>
      <c r="B420" s="8"/>
      <c r="C420" s="6" t="s">
        <v>94</v>
      </c>
      <c r="D420" s="7">
        <f>AVERAGE(D439,D65)</f>
        <v>79.852</v>
      </c>
    </row>
    <row r="421" ht="25.5" customHeight="1">
      <c r="A421" s="4" t="s">
        <v>823</v>
      </c>
      <c r="B421" s="8"/>
      <c r="C421" s="9" t="s">
        <v>824</v>
      </c>
      <c r="D421" s="7">
        <v>8.822</v>
      </c>
      <c r="E421" s="10" t="s">
        <v>825</v>
      </c>
    </row>
    <row r="422" ht="25.5" customHeight="1">
      <c r="A422" s="4" t="s">
        <v>826</v>
      </c>
      <c r="B422" s="8"/>
      <c r="C422" s="6" t="s">
        <v>827</v>
      </c>
      <c r="D422" s="7">
        <f>D335</f>
        <v>22.8161</v>
      </c>
    </row>
    <row r="423" ht="25.5" customHeight="1">
      <c r="A423" s="4" t="s">
        <v>828</v>
      </c>
      <c r="B423" s="8"/>
      <c r="C423" s="9" t="s">
        <v>829</v>
      </c>
      <c r="D423" s="7">
        <v>16.36</v>
      </c>
      <c r="E423" s="10" t="s">
        <v>830</v>
      </c>
    </row>
    <row r="424" ht="25.5" customHeight="1">
      <c r="A424" s="4" t="s">
        <v>831</v>
      </c>
      <c r="B424" s="8"/>
      <c r="C424" s="6" t="s">
        <v>98</v>
      </c>
      <c r="D424" s="7">
        <f>AVERAGE(D400,D467,D399,D538)</f>
        <v>21.88227946</v>
      </c>
    </row>
    <row r="425" ht="25.5" customHeight="1">
      <c r="A425" s="4" t="s">
        <v>832</v>
      </c>
      <c r="B425" s="8"/>
      <c r="C425" s="6" t="s">
        <v>833</v>
      </c>
      <c r="D425" s="7">
        <f>AVERAGE(D527,D427)</f>
        <v>19.317575</v>
      </c>
    </row>
    <row r="426" ht="25.5" customHeight="1">
      <c r="A426" s="4" t="s">
        <v>834</v>
      </c>
      <c r="B426" s="8"/>
      <c r="C426" s="6" t="s">
        <v>228</v>
      </c>
      <c r="D426" s="7">
        <f>D434+(((D2351-D434)/11)*8)</f>
        <v>14.09753567</v>
      </c>
    </row>
    <row r="427" ht="25.5" customHeight="1">
      <c r="A427" s="4" t="s">
        <v>835</v>
      </c>
      <c r="B427" s="8"/>
      <c r="C427" s="6" t="s">
        <v>836</v>
      </c>
      <c r="D427" s="7">
        <f>D421+(((D351-D421)/20)*11)</f>
        <v>19.81736429</v>
      </c>
    </row>
    <row r="428" ht="25.5" customHeight="1">
      <c r="A428" s="4" t="s">
        <v>837</v>
      </c>
      <c r="B428" s="8"/>
      <c r="C428" s="6" t="s">
        <v>838</v>
      </c>
      <c r="D428" s="7">
        <f>D531+(((D450-D531)/3)*2)</f>
        <v>21.94</v>
      </c>
    </row>
    <row r="429" ht="25.5" customHeight="1">
      <c r="A429" s="4" t="s">
        <v>839</v>
      </c>
      <c r="B429" s="8"/>
      <c r="C429" s="6" t="s">
        <v>234</v>
      </c>
      <c r="D429" s="7">
        <f>AVERAGE(D492,D401,D501)</f>
        <v>12.82031429</v>
      </c>
    </row>
    <row r="430" ht="25.5" customHeight="1">
      <c r="A430" s="4" t="s">
        <v>840</v>
      </c>
      <c r="B430" s="8"/>
      <c r="C430" s="6" t="s">
        <v>841</v>
      </c>
      <c r="D430" s="7">
        <f>D421+(((D351-D421)/20)*8)</f>
        <v>16.81862857</v>
      </c>
    </row>
    <row r="431" ht="25.5" customHeight="1">
      <c r="A431" s="4" t="s">
        <v>842</v>
      </c>
      <c r="B431" s="8"/>
      <c r="C431" s="6" t="s">
        <v>843</v>
      </c>
      <c r="D431" s="7">
        <f>D2464+(((D68-D2464)/5)*1)</f>
        <v>16.0552</v>
      </c>
    </row>
    <row r="432" ht="25.5" customHeight="1">
      <c r="A432" s="4" t="s">
        <v>844</v>
      </c>
      <c r="B432" s="8"/>
      <c r="C432" s="6" t="s">
        <v>845</v>
      </c>
      <c r="D432" s="7">
        <f>AVERAGE(D448,D459)</f>
        <v>14.67793103</v>
      </c>
    </row>
    <row r="433" ht="25.5" customHeight="1">
      <c r="A433" s="4" t="s">
        <v>846</v>
      </c>
      <c r="B433" s="8"/>
      <c r="C433" s="6" t="s">
        <v>847</v>
      </c>
      <c r="D433" s="7">
        <f>D342</f>
        <v>67.58</v>
      </c>
    </row>
    <row r="434" ht="25.5" customHeight="1">
      <c r="A434" s="4" t="s">
        <v>848</v>
      </c>
      <c r="B434" s="8"/>
      <c r="C434" s="9" t="s">
        <v>116</v>
      </c>
      <c r="D434" s="7">
        <v>13.46</v>
      </c>
      <c r="E434" s="10" t="s">
        <v>849</v>
      </c>
    </row>
    <row r="435" ht="25.5" customHeight="1">
      <c r="A435" s="4" t="s">
        <v>850</v>
      </c>
      <c r="B435" s="8"/>
      <c r="C435" s="6" t="s">
        <v>851</v>
      </c>
      <c r="D435" s="7">
        <f>AVERAGE(D477,D402)</f>
        <v>16.72856032</v>
      </c>
    </row>
    <row r="436" ht="25.5" customHeight="1">
      <c r="A436" s="4" t="s">
        <v>852</v>
      </c>
      <c r="B436" s="8"/>
      <c r="C436" s="6" t="s">
        <v>853</v>
      </c>
      <c r="D436" s="7">
        <f>D421+(((D351-D421)/20)*7)</f>
        <v>15.81905</v>
      </c>
    </row>
    <row r="437" ht="25.5" customHeight="1">
      <c r="A437" s="4" t="s">
        <v>854</v>
      </c>
      <c r="B437" s="8"/>
      <c r="C437" s="6" t="s">
        <v>855</v>
      </c>
      <c r="D437" s="7">
        <f>D549</f>
        <v>17.81820714</v>
      </c>
    </row>
    <row r="438" ht="25.5" customHeight="1">
      <c r="A438" s="4" t="s">
        <v>856</v>
      </c>
      <c r="B438" s="8"/>
      <c r="C438" s="6" t="s">
        <v>535</v>
      </c>
      <c r="D438" s="7">
        <f>D90+(((D423-D90)/7)*6)</f>
        <v>20.21482857</v>
      </c>
    </row>
    <row r="439" ht="25.5" customHeight="1">
      <c r="A439" s="4" t="s">
        <v>857</v>
      </c>
      <c r="B439" s="8"/>
      <c r="C439" s="6" t="s">
        <v>858</v>
      </c>
      <c r="D439" s="7">
        <f>AVERAGE(D515,D66)</f>
        <v>79.852</v>
      </c>
    </row>
    <row r="440" ht="25.5" customHeight="1">
      <c r="A440" s="4" t="s">
        <v>859</v>
      </c>
      <c r="B440" s="8"/>
      <c r="C440" s="6" t="s">
        <v>860</v>
      </c>
      <c r="D440" s="7">
        <f>AVERAGE(D482,D346,D335)</f>
        <v>21.81652143</v>
      </c>
    </row>
    <row r="441" ht="25.5" customHeight="1">
      <c r="A441" s="4" t="s">
        <v>861</v>
      </c>
      <c r="B441" s="8"/>
      <c r="C441" s="6" t="s">
        <v>862</v>
      </c>
      <c r="D441" s="7">
        <f>D401+(((D415-D401)/9)*8)</f>
        <v>25.32670159</v>
      </c>
    </row>
    <row r="442" ht="25.5" customHeight="1">
      <c r="A442" s="4" t="s">
        <v>863</v>
      </c>
      <c r="B442" s="8"/>
      <c r="C442" s="6" t="s">
        <v>542</v>
      </c>
      <c r="D442" s="7">
        <f>AVERAGE(D463,D2323)</f>
        <v>10.21103448</v>
      </c>
    </row>
    <row r="443" ht="25.5" customHeight="1">
      <c r="A443" s="4" t="s">
        <v>864</v>
      </c>
      <c r="B443" s="8"/>
      <c r="C443" s="6" t="s">
        <v>865</v>
      </c>
      <c r="D443" s="7">
        <f>D401+(((D415-D401)/9)*5)</f>
        <v>20.63680635</v>
      </c>
    </row>
    <row r="444" ht="25.5" customHeight="1">
      <c r="A444" s="4" t="s">
        <v>866</v>
      </c>
      <c r="B444" s="8"/>
      <c r="C444" s="6" t="s">
        <v>867</v>
      </c>
      <c r="D444" s="7">
        <f>AVERAGE(D479,D405,D406,D411)</f>
        <v>26.3764127</v>
      </c>
    </row>
    <row r="445" ht="25.5" customHeight="1">
      <c r="A445" s="4" t="s">
        <v>868</v>
      </c>
      <c r="B445" s="8"/>
      <c r="C445" s="6" t="s">
        <v>869</v>
      </c>
      <c r="D445" s="7">
        <f>AVERAGE(D495,D483,D2501,D1677)</f>
        <v>9.211757543</v>
      </c>
    </row>
    <row r="446" ht="25.5" customHeight="1">
      <c r="A446" s="4" t="s">
        <v>870</v>
      </c>
      <c r="B446" s="8"/>
      <c r="C446" s="6" t="s">
        <v>124</v>
      </c>
      <c r="D446" s="7">
        <f>AVERAGE(D428,D450,D421)</f>
        <v>16.84733333</v>
      </c>
    </row>
    <row r="447" ht="25.5" customHeight="1">
      <c r="A447" s="4" t="s">
        <v>871</v>
      </c>
      <c r="B447" s="8"/>
      <c r="C447" s="6" t="s">
        <v>872</v>
      </c>
      <c r="D447" s="7">
        <f>D398</f>
        <v>14.00975</v>
      </c>
    </row>
    <row r="448" ht="25.5" customHeight="1">
      <c r="A448" s="4" t="s">
        <v>873</v>
      </c>
      <c r="B448" s="8"/>
      <c r="C448" s="6" t="s">
        <v>874</v>
      </c>
      <c r="D448" s="7">
        <f>D423</f>
        <v>16.36</v>
      </c>
      <c r="E448" s="13" t="s">
        <v>830</v>
      </c>
    </row>
    <row r="449" ht="25.5" customHeight="1">
      <c r="A449" s="4" t="s">
        <v>875</v>
      </c>
      <c r="B449" s="8"/>
      <c r="C449" s="6" t="s">
        <v>126</v>
      </c>
      <c r="D449" s="12">
        <f>D2903+(((D434-D2903)/29)*24)</f>
        <v>11.13931034</v>
      </c>
    </row>
    <row r="450" ht="25.5" customHeight="1">
      <c r="A450" s="4" t="s">
        <v>876</v>
      </c>
      <c r="B450" s="8"/>
      <c r="C450" s="9" t="s">
        <v>248</v>
      </c>
      <c r="D450" s="7">
        <v>19.78</v>
      </c>
      <c r="E450" s="10" t="s">
        <v>877</v>
      </c>
    </row>
    <row r="451" ht="25.5" customHeight="1">
      <c r="A451" s="4" t="s">
        <v>878</v>
      </c>
      <c r="B451" s="8"/>
      <c r="C451" s="6" t="s">
        <v>879</v>
      </c>
      <c r="D451" s="7">
        <f>AVERAGE(D432,D502,D495)</f>
        <v>10.33068534</v>
      </c>
    </row>
    <row r="452" ht="25.5" customHeight="1">
      <c r="A452" s="4" t="s">
        <v>880</v>
      </c>
      <c r="B452" s="8"/>
      <c r="C452" s="6" t="s">
        <v>881</v>
      </c>
      <c r="D452" s="7">
        <f>D539</f>
        <v>13.93815175</v>
      </c>
    </row>
    <row r="453" ht="25.5" customHeight="1">
      <c r="A453" s="4" t="s">
        <v>882</v>
      </c>
      <c r="B453" s="8"/>
      <c r="C453" s="6" t="s">
        <v>883</v>
      </c>
      <c r="D453" s="12">
        <f>D1755+(((D365-D1755)/28)*18)</f>
        <v>34.57285714</v>
      </c>
    </row>
    <row r="454" ht="25.5" customHeight="1">
      <c r="A454" s="4" t="s">
        <v>884</v>
      </c>
      <c r="B454" s="8"/>
      <c r="C454" s="6" t="s">
        <v>885</v>
      </c>
      <c r="D454" s="7">
        <f>D413+(((D423-D413)/4)*2)</f>
        <v>11.6595</v>
      </c>
    </row>
    <row r="455" ht="25.5" customHeight="1">
      <c r="A455" s="4" t="s">
        <v>886</v>
      </c>
      <c r="B455" s="8"/>
      <c r="C455" s="6" t="s">
        <v>887</v>
      </c>
      <c r="D455" s="7">
        <f>AVERAGE(D359,D342)</f>
        <v>67.58</v>
      </c>
    </row>
    <row r="456" ht="25.5" customHeight="1">
      <c r="A456" s="4" t="s">
        <v>888</v>
      </c>
      <c r="B456" s="8"/>
      <c r="C456" s="6" t="s">
        <v>130</v>
      </c>
      <c r="D456" s="7">
        <f>D434+(((D2351-D434)/11)*4)</f>
        <v>13.77876783</v>
      </c>
    </row>
    <row r="457" ht="25.5" customHeight="1">
      <c r="A457" s="4" t="s">
        <v>889</v>
      </c>
      <c r="B457" s="8"/>
      <c r="C457" s="6" t="s">
        <v>890</v>
      </c>
      <c r="D457" s="12">
        <f>D2903+(((D434-D2903)/29)*28)</f>
        <v>12.99586207</v>
      </c>
    </row>
    <row r="458" ht="25.5" customHeight="1">
      <c r="A458" s="4" t="s">
        <v>891</v>
      </c>
      <c r="B458" s="8"/>
      <c r="C458" s="6" t="s">
        <v>892</v>
      </c>
      <c r="D458" s="7">
        <f>AVERAGE(D459,D396,D2356)</f>
        <v>11.60344828</v>
      </c>
    </row>
    <row r="459" ht="25.5" customHeight="1">
      <c r="A459" s="4" t="s">
        <v>893</v>
      </c>
      <c r="B459" s="8"/>
      <c r="C459" s="6" t="s">
        <v>894</v>
      </c>
      <c r="D459" s="7">
        <f>D457</f>
        <v>12.99586207</v>
      </c>
    </row>
    <row r="460" ht="25.5" customHeight="1">
      <c r="A460" s="4" t="s">
        <v>895</v>
      </c>
      <c r="B460" s="8"/>
      <c r="C460" s="6" t="s">
        <v>896</v>
      </c>
      <c r="D460" s="7">
        <f>AVERAGE(D539,D521,D456)</f>
        <v>13.85845979</v>
      </c>
    </row>
    <row r="461" ht="25.5" customHeight="1">
      <c r="A461" s="4" t="s">
        <v>897</v>
      </c>
      <c r="B461" s="8"/>
      <c r="C461" s="6" t="s">
        <v>898</v>
      </c>
      <c r="D461" s="7">
        <f>D90+(((D423-D90)/7)*4)</f>
        <v>27.92448571</v>
      </c>
    </row>
    <row r="462" ht="25.5" customHeight="1">
      <c r="A462" s="4" t="s">
        <v>899</v>
      </c>
      <c r="B462" s="8"/>
      <c r="C462" s="6" t="s">
        <v>900</v>
      </c>
      <c r="D462" s="7">
        <f>D496</f>
        <v>26.26</v>
      </c>
      <c r="E462" s="13" t="s">
        <v>901</v>
      </c>
    </row>
    <row r="463" ht="25.5" customHeight="1">
      <c r="A463" s="4" t="s">
        <v>902</v>
      </c>
      <c r="B463" s="8"/>
      <c r="C463" s="6" t="s">
        <v>903</v>
      </c>
      <c r="D463" s="12">
        <f>D2903+(((D434-D2903)/29)*23)</f>
        <v>10.67517241</v>
      </c>
    </row>
    <row r="464" ht="25.5" customHeight="1">
      <c r="A464" s="4" t="s">
        <v>904</v>
      </c>
      <c r="B464" s="8"/>
      <c r="C464" s="6" t="s">
        <v>905</v>
      </c>
      <c r="D464" s="7">
        <f>AVERAGE(D412,D428,D531)</f>
        <v>24.08988571</v>
      </c>
    </row>
    <row r="465" ht="25.5" customHeight="1">
      <c r="A465" s="4" t="s">
        <v>906</v>
      </c>
      <c r="B465" s="8"/>
      <c r="C465" s="6" t="s">
        <v>134</v>
      </c>
      <c r="D465" s="7">
        <f>D421+(((D351-D421)/20)*1)</f>
        <v>9.821578571</v>
      </c>
    </row>
    <row r="466" ht="25.5" customHeight="1">
      <c r="A466" s="4" t="s">
        <v>907</v>
      </c>
      <c r="B466" s="8"/>
      <c r="C466" s="6" t="s">
        <v>136</v>
      </c>
      <c r="D466" s="7">
        <f>D421+(((D351-D421)/20)*6)</f>
        <v>14.81947143</v>
      </c>
    </row>
    <row r="467" ht="25.5" customHeight="1">
      <c r="A467" s="4" t="s">
        <v>908</v>
      </c>
      <c r="B467" s="8"/>
      <c r="C467" s="6" t="s">
        <v>909</v>
      </c>
      <c r="D467" s="7">
        <f>AVERAGE(D532,D527)</f>
        <v>18.31799643</v>
      </c>
    </row>
    <row r="468" ht="25.5" customHeight="1">
      <c r="A468" s="4" t="s">
        <v>910</v>
      </c>
      <c r="B468" s="8"/>
      <c r="C468" s="6" t="s">
        <v>138</v>
      </c>
      <c r="D468" s="12">
        <f>D2903+(((D434-D2903)/29)*26)</f>
        <v>12.06758621</v>
      </c>
    </row>
    <row r="469" ht="25.5" customHeight="1">
      <c r="A469" s="4" t="s">
        <v>911</v>
      </c>
      <c r="B469" s="8"/>
      <c r="C469" s="6" t="s">
        <v>912</v>
      </c>
      <c r="D469" s="7">
        <f>AVERAGE(D494,D497,D408,D492)</f>
        <v>12.49008816</v>
      </c>
    </row>
    <row r="470" ht="25.5" customHeight="1">
      <c r="A470" s="4" t="s">
        <v>913</v>
      </c>
      <c r="B470" s="8"/>
      <c r="C470" s="6" t="s">
        <v>914</v>
      </c>
      <c r="D470" s="7">
        <f>AVERAGE(D543,D493)</f>
        <v>18.68268333</v>
      </c>
    </row>
    <row r="471" ht="25.5" customHeight="1">
      <c r="A471" s="4" t="s">
        <v>915</v>
      </c>
      <c r="B471" s="8"/>
      <c r="C471" s="6" t="s">
        <v>140</v>
      </c>
      <c r="D471" s="7">
        <f>AVERAGE(D443,D511)</f>
        <v>17.40701699</v>
      </c>
    </row>
    <row r="472" ht="25.5" customHeight="1">
      <c r="A472" s="4" t="s">
        <v>916</v>
      </c>
      <c r="B472" s="8"/>
      <c r="C472" s="6" t="s">
        <v>917</v>
      </c>
      <c r="D472" s="7">
        <f>AVERAGE(D443,D406)</f>
        <v>22.20010476</v>
      </c>
    </row>
    <row r="473" ht="25.5" customHeight="1">
      <c r="A473" s="4" t="s">
        <v>918</v>
      </c>
      <c r="B473" s="8"/>
      <c r="C473" s="6" t="s">
        <v>267</v>
      </c>
      <c r="D473" s="7">
        <f>AVERAGE(D477,D443)</f>
        <v>19.07350794</v>
      </c>
    </row>
    <row r="474" ht="25.5" customHeight="1">
      <c r="A474" s="4" t="s">
        <v>919</v>
      </c>
      <c r="B474" s="8"/>
      <c r="C474" s="6" t="s">
        <v>920</v>
      </c>
      <c r="D474" s="7">
        <f>AVERAGE(D492,D401,D533)</f>
        <v>13.0082209</v>
      </c>
    </row>
    <row r="475" ht="25.5" customHeight="1">
      <c r="A475" s="4" t="s">
        <v>921</v>
      </c>
      <c r="B475" s="8"/>
      <c r="C475" s="6" t="s">
        <v>143</v>
      </c>
      <c r="D475" s="7">
        <f>AVERAGE(D408,D492)</f>
        <v>11.32094643</v>
      </c>
    </row>
    <row r="476" ht="25.5" customHeight="1">
      <c r="A476" s="4" t="s">
        <v>922</v>
      </c>
      <c r="B476" s="8"/>
      <c r="C476" s="6" t="s">
        <v>923</v>
      </c>
      <c r="D476" s="7">
        <f>D482</f>
        <v>20.81694286</v>
      </c>
    </row>
    <row r="477" ht="25.5" customHeight="1">
      <c r="A477" s="4" t="s">
        <v>924</v>
      </c>
      <c r="B477" s="8"/>
      <c r="C477" s="6" t="s">
        <v>925</v>
      </c>
      <c r="D477" s="7">
        <f>D401+(((D415-D401)/9)*3)</f>
        <v>17.51020952</v>
      </c>
    </row>
    <row r="478" ht="25.5" customHeight="1">
      <c r="A478" s="4" t="s">
        <v>926</v>
      </c>
      <c r="B478" s="8"/>
      <c r="C478" s="6" t="s">
        <v>149</v>
      </c>
      <c r="D478" s="7">
        <f>AVERAGE(D519,D549)</f>
        <v>17.06852321</v>
      </c>
    </row>
    <row r="479" ht="25.5" customHeight="1">
      <c r="A479" s="4" t="s">
        <v>927</v>
      </c>
      <c r="B479" s="8"/>
      <c r="C479" s="6" t="s">
        <v>714</v>
      </c>
      <c r="D479" s="12">
        <f>D1755+(((D365-D1755)/28)*16)</f>
        <v>30.73142857</v>
      </c>
    </row>
    <row r="480" ht="25.5" customHeight="1">
      <c r="A480" s="4" t="s">
        <v>928</v>
      </c>
      <c r="B480" s="8"/>
      <c r="C480" s="6" t="s">
        <v>273</v>
      </c>
      <c r="D480" s="7">
        <f>AVERAGE(D487,D426)</f>
        <v>14.05768969</v>
      </c>
    </row>
    <row r="481" ht="25.5" customHeight="1">
      <c r="A481" s="4" t="s">
        <v>929</v>
      </c>
      <c r="B481" s="8"/>
      <c r="C481" s="6" t="s">
        <v>930</v>
      </c>
      <c r="D481" s="7">
        <f>AVERAGE(D488,D479)</f>
        <v>31.69178571</v>
      </c>
    </row>
    <row r="482" ht="25.5" customHeight="1">
      <c r="A482" s="4" t="s">
        <v>931</v>
      </c>
      <c r="B482" s="8"/>
      <c r="C482" s="6" t="s">
        <v>153</v>
      </c>
      <c r="D482" s="7">
        <f>D421+(((D351-D421)/20)*12)</f>
        <v>20.81694286</v>
      </c>
    </row>
    <row r="483" ht="25.5" customHeight="1">
      <c r="A483" s="4" t="s">
        <v>932</v>
      </c>
      <c r="B483" s="8"/>
      <c r="C483" s="6" t="s">
        <v>933</v>
      </c>
      <c r="D483" s="7">
        <f>D459</f>
        <v>12.99586207</v>
      </c>
    </row>
    <row r="484" ht="25.5" customHeight="1">
      <c r="A484" s="4" t="s">
        <v>934</v>
      </c>
      <c r="B484" s="8"/>
      <c r="C484" s="6" t="s">
        <v>155</v>
      </c>
      <c r="D484" s="7">
        <f>AVERAGE(D501,D466,D436)</f>
        <v>14.81947143</v>
      </c>
    </row>
    <row r="485" ht="25.5" customHeight="1">
      <c r="A485" s="4" t="s">
        <v>935</v>
      </c>
      <c r="B485" s="8"/>
      <c r="C485" s="6" t="s">
        <v>157</v>
      </c>
      <c r="D485" s="7">
        <f>AVERAGE(D468,D396,D449,D463)</f>
        <v>11.37137931</v>
      </c>
    </row>
    <row r="486" ht="25.5" customHeight="1">
      <c r="A486" s="4" t="s">
        <v>936</v>
      </c>
      <c r="B486" s="8"/>
      <c r="C486" s="6" t="s">
        <v>161</v>
      </c>
      <c r="D486" s="7">
        <f>AVERAGE(D520,D416)</f>
        <v>25.9</v>
      </c>
    </row>
    <row r="487" ht="25.5" customHeight="1">
      <c r="A487" s="4" t="s">
        <v>937</v>
      </c>
      <c r="B487" s="8"/>
      <c r="C487" s="6" t="s">
        <v>938</v>
      </c>
      <c r="D487" s="7">
        <f>D434+(((D2351-D434)/11)*7)</f>
        <v>14.01784371</v>
      </c>
    </row>
    <row r="488" ht="25.5" customHeight="1">
      <c r="A488" s="4" t="s">
        <v>939</v>
      </c>
      <c r="B488" s="8"/>
      <c r="C488" s="6" t="s">
        <v>940</v>
      </c>
      <c r="D488" s="12">
        <f>D1755+(((D365-D1755)/28)*17)</f>
        <v>32.65214286</v>
      </c>
    </row>
    <row r="489" ht="25.5" customHeight="1">
      <c r="A489" s="4" t="s">
        <v>941</v>
      </c>
      <c r="B489" s="8"/>
      <c r="C489" s="6" t="s">
        <v>942</v>
      </c>
      <c r="D489" s="7">
        <f>D531+(((D450-D531)/3)*1)</f>
        <v>24.1</v>
      </c>
    </row>
    <row r="490" ht="25.5" customHeight="1">
      <c r="A490" s="4" t="s">
        <v>943</v>
      </c>
      <c r="B490" s="8"/>
      <c r="C490" s="6" t="s">
        <v>283</v>
      </c>
      <c r="D490" s="7">
        <f>AVERAGE(D433,D515)</f>
        <v>73.716</v>
      </c>
    </row>
    <row r="491" ht="25.5" customHeight="1">
      <c r="A491" s="4" t="s">
        <v>944</v>
      </c>
      <c r="B491" s="8"/>
      <c r="C491" s="6" t="s">
        <v>945</v>
      </c>
      <c r="D491" s="7">
        <f>AVERAGE(D549,D425,D526,D455,D433)</f>
        <v>47.97515643</v>
      </c>
    </row>
    <row r="492" ht="25.5" customHeight="1">
      <c r="A492" s="4" t="s">
        <v>946</v>
      </c>
      <c r="B492" s="8"/>
      <c r="C492" s="6" t="s">
        <v>167</v>
      </c>
      <c r="D492" s="7">
        <f>D421+(((D351-D421)/20)*3)</f>
        <v>11.82073571</v>
      </c>
    </row>
    <row r="493" ht="25.5" customHeight="1">
      <c r="A493" s="4" t="s">
        <v>947</v>
      </c>
      <c r="B493" s="8"/>
      <c r="C493" s="6" t="s">
        <v>169</v>
      </c>
      <c r="D493" s="7">
        <f>D530</f>
        <v>19.07350794</v>
      </c>
    </row>
    <row r="494" ht="25.5" customHeight="1">
      <c r="A494" s="4" t="s">
        <v>948</v>
      </c>
      <c r="B494" s="8"/>
      <c r="C494" s="6" t="s">
        <v>171</v>
      </c>
      <c r="D494" s="7">
        <f>D434+(((D2351-D434)/11)*3)</f>
        <v>13.69907587</v>
      </c>
    </row>
    <row r="495" ht="25.5" customHeight="1">
      <c r="A495" s="4" t="s">
        <v>949</v>
      </c>
      <c r="B495" s="8"/>
      <c r="C495" s="6" t="s">
        <v>950</v>
      </c>
      <c r="D495" s="7">
        <f>AVERAGE(D545,D454)</f>
        <v>10.484375</v>
      </c>
    </row>
    <row r="496" ht="25.5" customHeight="1">
      <c r="A496" s="4" t="s">
        <v>951</v>
      </c>
      <c r="B496" s="8"/>
      <c r="C496" s="9" t="s">
        <v>952</v>
      </c>
      <c r="D496" s="7">
        <v>26.26</v>
      </c>
      <c r="E496" s="10" t="s">
        <v>901</v>
      </c>
    </row>
    <row r="497" ht="25.5" customHeight="1">
      <c r="A497" s="4" t="s">
        <v>953</v>
      </c>
      <c r="B497" s="8"/>
      <c r="C497" s="6" t="s">
        <v>291</v>
      </c>
      <c r="D497" s="7">
        <f>D434+(((D2351-D434)/11)*2)</f>
        <v>13.61938392</v>
      </c>
    </row>
    <row r="498" ht="25.5" customHeight="1">
      <c r="A498" s="4" t="s">
        <v>954</v>
      </c>
      <c r="B498" s="8"/>
      <c r="C498" s="6" t="s">
        <v>955</v>
      </c>
      <c r="D498" s="7">
        <f>AVERAGE(D397,D456)</f>
        <v>13.15524599</v>
      </c>
    </row>
    <row r="499" ht="25.5" customHeight="1">
      <c r="A499" s="4" t="s">
        <v>956</v>
      </c>
      <c r="B499" s="8"/>
      <c r="C499" s="6" t="s">
        <v>957</v>
      </c>
      <c r="D499" s="7">
        <f>AVERAGE(D456,D521)</f>
        <v>13.81861381</v>
      </c>
    </row>
    <row r="500" ht="25.5" customHeight="1">
      <c r="A500" s="4" t="s">
        <v>958</v>
      </c>
      <c r="B500" s="8"/>
      <c r="C500" s="6" t="s">
        <v>959</v>
      </c>
      <c r="D500" s="7">
        <f>D438</f>
        <v>20.21482857</v>
      </c>
    </row>
    <row r="501" ht="25.5" customHeight="1">
      <c r="A501" s="4" t="s">
        <v>960</v>
      </c>
      <c r="B501" s="8"/>
      <c r="C501" s="6" t="s">
        <v>961</v>
      </c>
      <c r="D501" s="7">
        <f>D421+(((D351-D421)/20)*5)</f>
        <v>13.81989286</v>
      </c>
    </row>
    <row r="502" ht="25.5" customHeight="1">
      <c r="A502" s="4" t="s">
        <v>962</v>
      </c>
      <c r="B502" s="8"/>
      <c r="C502" s="6" t="s">
        <v>175</v>
      </c>
      <c r="D502" s="7">
        <f>AVERAGE(D454,D418)</f>
        <v>5.82975</v>
      </c>
    </row>
    <row r="503" ht="25.5" customHeight="1">
      <c r="A503" s="4" t="s">
        <v>963</v>
      </c>
      <c r="B503" s="8"/>
      <c r="C503" s="6" t="s">
        <v>964</v>
      </c>
      <c r="D503" s="7">
        <f>AVERAGE(D541,D403,D538)</f>
        <v>33.57375476</v>
      </c>
    </row>
    <row r="504" ht="25.5" customHeight="1">
      <c r="A504" s="4" t="s">
        <v>965</v>
      </c>
      <c r="B504" s="8"/>
      <c r="C504" s="6" t="s">
        <v>177</v>
      </c>
      <c r="D504" s="7">
        <f>D489</f>
        <v>24.1</v>
      </c>
    </row>
    <row r="505" ht="25.5" customHeight="1">
      <c r="A505" s="4" t="s">
        <v>966</v>
      </c>
      <c r="B505" s="8"/>
      <c r="C505" s="6" t="s">
        <v>301</v>
      </c>
      <c r="D505" s="7">
        <f>D461</f>
        <v>27.92448571</v>
      </c>
    </row>
    <row r="506" ht="25.5" customHeight="1">
      <c r="A506" s="4" t="s">
        <v>967</v>
      </c>
      <c r="B506" s="8"/>
      <c r="C506" s="6" t="s">
        <v>307</v>
      </c>
      <c r="D506" s="7">
        <f>AVERAGE(D402,D466,D436)</f>
        <v>15.52847751</v>
      </c>
    </row>
    <row r="507" ht="25.5" customHeight="1">
      <c r="A507" s="4" t="s">
        <v>968</v>
      </c>
      <c r="B507" s="8"/>
      <c r="C507" s="6" t="s">
        <v>745</v>
      </c>
      <c r="D507" s="7">
        <f>AVERAGE(D456,D494)</f>
        <v>13.73892185</v>
      </c>
    </row>
    <row r="508" ht="25.5" customHeight="1">
      <c r="A508" s="4" t="s">
        <v>969</v>
      </c>
      <c r="B508" s="8"/>
      <c r="C508" s="6" t="s">
        <v>970</v>
      </c>
      <c r="D508" s="7">
        <f>AVERAGE(D518,D34)</f>
        <v>66.52847222</v>
      </c>
    </row>
    <row r="509" ht="25.5" customHeight="1">
      <c r="A509" s="4" t="s">
        <v>971</v>
      </c>
      <c r="B509" s="8"/>
      <c r="C509" s="6" t="s">
        <v>972</v>
      </c>
      <c r="D509" s="7">
        <f>D2356</f>
        <v>10.21103448</v>
      </c>
    </row>
    <row r="510" ht="25.5" customHeight="1">
      <c r="A510" s="4" t="s">
        <v>973</v>
      </c>
      <c r="B510" s="8"/>
      <c r="C510" s="6" t="s">
        <v>179</v>
      </c>
      <c r="D510" s="7">
        <f>AVERAGE(D518,D525)</f>
        <v>29.91837798</v>
      </c>
    </row>
    <row r="511" ht="25.5" customHeight="1">
      <c r="A511" s="4" t="s">
        <v>974</v>
      </c>
      <c r="B511" s="8"/>
      <c r="C511" s="6" t="s">
        <v>975</v>
      </c>
      <c r="D511" s="7">
        <f>D434+(((D2351-D434)/11)*9)</f>
        <v>14.17722762</v>
      </c>
    </row>
    <row r="512" ht="25.5" customHeight="1">
      <c r="A512" s="4" t="s">
        <v>976</v>
      </c>
      <c r="B512" s="8"/>
      <c r="C512" s="6" t="s">
        <v>977</v>
      </c>
      <c r="D512" s="7">
        <f>D434+(((D2351-D434)/11)*1)</f>
        <v>13.53969196</v>
      </c>
    </row>
    <row r="513" ht="25.5" customHeight="1">
      <c r="A513" s="4" t="s">
        <v>978</v>
      </c>
      <c r="B513" s="8"/>
      <c r="C513" s="6" t="s">
        <v>979</v>
      </c>
      <c r="D513" s="7">
        <f>AVERAGE(D484,D519)</f>
        <v>15.56915536</v>
      </c>
    </row>
    <row r="514" ht="25.5" customHeight="1">
      <c r="A514" s="4" t="s">
        <v>980</v>
      </c>
      <c r="B514" s="8"/>
      <c r="C514" s="6" t="s">
        <v>981</v>
      </c>
      <c r="D514" s="7">
        <f>AVERAGE(D406,D441,D2344)</f>
        <v>24.0462254</v>
      </c>
    </row>
    <row r="515" ht="25.5" customHeight="1">
      <c r="A515" s="4" t="s">
        <v>982</v>
      </c>
      <c r="B515" s="8"/>
      <c r="C515" s="6" t="s">
        <v>750</v>
      </c>
      <c r="D515" s="7">
        <f>D354</f>
        <v>79.852</v>
      </c>
    </row>
    <row r="516" ht="25.5" customHeight="1">
      <c r="A516" s="4" t="s">
        <v>983</v>
      </c>
      <c r="B516" s="8"/>
      <c r="C516" s="6" t="s">
        <v>984</v>
      </c>
      <c r="D516" s="7">
        <f>AVERAGE(D489,D428,D421,D465,D408)</f>
        <v>15.10094714</v>
      </c>
    </row>
    <row r="517" ht="25.5" customHeight="1">
      <c r="A517" s="4" t="s">
        <v>985</v>
      </c>
      <c r="B517" s="8"/>
      <c r="C517" s="6" t="s">
        <v>986</v>
      </c>
      <c r="D517" s="7">
        <f>AVERAGE(D396,D449,D2356)</f>
        <v>10.9845977</v>
      </c>
    </row>
    <row r="518" ht="25.5" customHeight="1">
      <c r="A518" s="4" t="s">
        <v>987</v>
      </c>
      <c r="B518" s="8"/>
      <c r="C518" s="6" t="s">
        <v>988</v>
      </c>
      <c r="D518" s="7">
        <f>AVERAGE(D416,D88)</f>
        <v>43.51791667</v>
      </c>
    </row>
    <row r="519" ht="25.5" customHeight="1">
      <c r="A519" s="4" t="s">
        <v>989</v>
      </c>
      <c r="B519" s="8"/>
      <c r="C519" s="6" t="s">
        <v>187</v>
      </c>
      <c r="D519" s="7">
        <f>AVERAGE(D436,D430)</f>
        <v>16.31883929</v>
      </c>
    </row>
    <row r="520" ht="25.5" customHeight="1">
      <c r="A520" s="4" t="s">
        <v>990</v>
      </c>
      <c r="B520" s="8"/>
      <c r="C520" s="6" t="s">
        <v>991</v>
      </c>
      <c r="D520" s="7">
        <f>AVERAGE(D496,D462,D489)</f>
        <v>25.54</v>
      </c>
    </row>
    <row r="521" ht="25.5" customHeight="1">
      <c r="A521" s="4" t="s">
        <v>992</v>
      </c>
      <c r="B521" s="8"/>
      <c r="C521" s="6" t="s">
        <v>993</v>
      </c>
      <c r="D521" s="7">
        <f>D434+(((D2351-D434)/11)*5)</f>
        <v>13.85845979</v>
      </c>
    </row>
    <row r="522" ht="25.5" customHeight="1">
      <c r="A522" s="4" t="s">
        <v>994</v>
      </c>
      <c r="B522" s="8"/>
      <c r="C522" s="6" t="s">
        <v>995</v>
      </c>
      <c r="D522" s="7">
        <f>AVERAGE(D479,D411)</f>
        <v>26.46576667</v>
      </c>
    </row>
    <row r="523" ht="25.5" customHeight="1">
      <c r="A523" s="4" t="s">
        <v>996</v>
      </c>
      <c r="B523" s="8"/>
      <c r="C523" s="6" t="s">
        <v>759</v>
      </c>
      <c r="D523" s="7">
        <f>AVERAGE(D520,D535,D429,D484)</f>
        <v>17.78503839</v>
      </c>
    </row>
    <row r="524" ht="25.5" customHeight="1">
      <c r="A524" s="4" t="s">
        <v>997</v>
      </c>
      <c r="B524" s="8"/>
      <c r="C524" s="6" t="s">
        <v>998</v>
      </c>
      <c r="D524" s="7">
        <f>AVERAGE(D399,D546,D435,D543)</f>
        <v>17.41431369</v>
      </c>
    </row>
    <row r="525" ht="25.5" customHeight="1">
      <c r="A525" s="4" t="s">
        <v>999</v>
      </c>
      <c r="B525" s="8"/>
      <c r="C525" s="6" t="s">
        <v>1000</v>
      </c>
      <c r="D525" s="7">
        <f>D519</f>
        <v>16.31883929</v>
      </c>
    </row>
    <row r="526" ht="25.5" customHeight="1">
      <c r="A526" s="4" t="s">
        <v>1001</v>
      </c>
      <c r="B526" s="8"/>
      <c r="C526" s="6" t="s">
        <v>1002</v>
      </c>
      <c r="D526" s="7">
        <f>AVERAGE(D355,D359)</f>
        <v>67.58</v>
      </c>
    </row>
    <row r="527" ht="25.5" customHeight="1">
      <c r="A527" s="4" t="s">
        <v>1003</v>
      </c>
      <c r="B527" s="8"/>
      <c r="C527" s="6" t="s">
        <v>1004</v>
      </c>
      <c r="D527" s="7">
        <f>D421+(((D351-D421)/20)*10)</f>
        <v>18.81778571</v>
      </c>
    </row>
    <row r="528" ht="25.5" customHeight="1">
      <c r="A528" s="4" t="s">
        <v>1005</v>
      </c>
      <c r="B528" s="8"/>
      <c r="C528" s="6" t="s">
        <v>1006</v>
      </c>
      <c r="D528" s="7">
        <f>D443</f>
        <v>20.63680635</v>
      </c>
    </row>
    <row r="529" ht="25.5" customHeight="1">
      <c r="A529" s="4" t="s">
        <v>1007</v>
      </c>
      <c r="B529" s="8"/>
      <c r="C529" s="6" t="s">
        <v>1008</v>
      </c>
      <c r="D529" s="7">
        <f>AVERAGE(D544,D458,D509)</f>
        <v>11.60344828</v>
      </c>
    </row>
    <row r="530" ht="25.5" customHeight="1">
      <c r="A530" s="4" t="s">
        <v>1009</v>
      </c>
      <c r="B530" s="8"/>
      <c r="C530" s="6" t="s">
        <v>1010</v>
      </c>
      <c r="D530" s="7">
        <f>D401+(((D415-D401)/9)*4)</f>
        <v>19.07350794</v>
      </c>
    </row>
    <row r="531" ht="25.5" customHeight="1">
      <c r="A531" s="4" t="s">
        <v>1011</v>
      </c>
      <c r="B531" s="8"/>
      <c r="C531" s="6" t="s">
        <v>1012</v>
      </c>
      <c r="D531" s="7">
        <f>D462</f>
        <v>26.26</v>
      </c>
    </row>
    <row r="532" ht="25.5" customHeight="1">
      <c r="A532" s="4" t="s">
        <v>1013</v>
      </c>
      <c r="B532" s="8"/>
      <c r="C532" s="6" t="s">
        <v>1014</v>
      </c>
      <c r="D532" s="7">
        <f>D421+(((D351-D421)/20)*9)</f>
        <v>17.81820714</v>
      </c>
    </row>
    <row r="533" ht="25.5" customHeight="1">
      <c r="A533" s="4" t="s">
        <v>1015</v>
      </c>
      <c r="B533" s="8"/>
      <c r="C533" s="6" t="s">
        <v>1016</v>
      </c>
      <c r="D533" s="7">
        <f>D401+(((D415-D401)/9)*1)</f>
        <v>14.3836127</v>
      </c>
    </row>
    <row r="534" ht="25.5" customHeight="1">
      <c r="A534" s="4" t="s">
        <v>1017</v>
      </c>
      <c r="B534" s="8"/>
      <c r="C534" s="6" t="s">
        <v>326</v>
      </c>
      <c r="D534" s="7">
        <f>AVERAGE(D483,D544,D1677)</f>
        <v>10.87333333</v>
      </c>
    </row>
    <row r="535" ht="25.5" customHeight="1">
      <c r="A535" s="4" t="s">
        <v>1018</v>
      </c>
      <c r="B535" s="8"/>
      <c r="C535" s="6" t="s">
        <v>1019</v>
      </c>
      <c r="D535" s="7">
        <f>AVERAGE(D489,D492)</f>
        <v>17.96036786</v>
      </c>
    </row>
    <row r="536" ht="25.5" customHeight="1">
      <c r="A536" s="4" t="s">
        <v>1020</v>
      </c>
      <c r="B536" s="8"/>
      <c r="C536" s="6" t="s">
        <v>195</v>
      </c>
      <c r="D536" s="7">
        <f>D2464</f>
        <v>6.959</v>
      </c>
      <c r="E536" s="13" t="s">
        <v>810</v>
      </c>
    </row>
    <row r="537" ht="25.5" customHeight="1">
      <c r="A537" s="4" t="s">
        <v>1021</v>
      </c>
      <c r="B537" s="8"/>
      <c r="C537" s="6" t="s">
        <v>766</v>
      </c>
      <c r="D537" s="7">
        <f>AVERAGE(D494,D497,D512,D457,D397)</f>
        <v>13.27714759</v>
      </c>
    </row>
    <row r="538" ht="25.5" customHeight="1">
      <c r="A538" s="4" t="s">
        <v>1022</v>
      </c>
      <c r="B538" s="8"/>
      <c r="C538" s="6" t="s">
        <v>1023</v>
      </c>
      <c r="D538" s="7">
        <f>D325</f>
        <v>31.57555</v>
      </c>
    </row>
    <row r="539" ht="25.5" customHeight="1">
      <c r="A539" s="4" t="s">
        <v>1024</v>
      </c>
      <c r="B539" s="8"/>
      <c r="C539" s="6" t="s">
        <v>1025</v>
      </c>
      <c r="D539" s="7">
        <f>D434+(((D2351-D434)/11)*6)</f>
        <v>13.93815175</v>
      </c>
    </row>
    <row r="540" ht="25.5" customHeight="1">
      <c r="A540" s="4" t="s">
        <v>1026</v>
      </c>
      <c r="B540" s="8"/>
      <c r="C540" s="6" t="s">
        <v>197</v>
      </c>
      <c r="D540" s="7">
        <f>AVERAGE(D460,D452,D471,D473,D548)</f>
        <v>16.04480952</v>
      </c>
    </row>
    <row r="541" ht="25.5" customHeight="1">
      <c r="A541" s="4" t="s">
        <v>1027</v>
      </c>
      <c r="B541" s="8"/>
      <c r="C541" s="6" t="s">
        <v>1028</v>
      </c>
      <c r="D541" s="7">
        <f>AVERAGE(D453,D488)</f>
        <v>33.6125</v>
      </c>
    </row>
    <row r="542" ht="25.5" customHeight="1">
      <c r="A542" s="4" t="s">
        <v>1029</v>
      </c>
      <c r="B542" s="8"/>
      <c r="C542" s="6" t="s">
        <v>1030</v>
      </c>
      <c r="D542" s="7">
        <f>D519</f>
        <v>16.31883929</v>
      </c>
    </row>
    <row r="543" ht="25.5" customHeight="1">
      <c r="A543" s="4" t="s">
        <v>1031</v>
      </c>
      <c r="B543" s="8"/>
      <c r="C543" s="6" t="s">
        <v>1032</v>
      </c>
      <c r="D543" s="7">
        <f>AVERAGE(D530,D477)</f>
        <v>18.29185873</v>
      </c>
    </row>
    <row r="544" ht="25.5" customHeight="1">
      <c r="A544" s="4" t="s">
        <v>1033</v>
      </c>
      <c r="B544" s="8"/>
      <c r="C544" s="6" t="s">
        <v>331</v>
      </c>
      <c r="D544" s="7">
        <f>D459</f>
        <v>12.99586207</v>
      </c>
    </row>
    <row r="545" ht="25.5" customHeight="1">
      <c r="A545" s="4" t="s">
        <v>1034</v>
      </c>
      <c r="B545" s="8"/>
      <c r="C545" s="6" t="s">
        <v>1035</v>
      </c>
      <c r="D545" s="7">
        <f>D413+(((D423-D413)/4)*1)</f>
        <v>9.30925</v>
      </c>
    </row>
    <row r="546" ht="25.5" customHeight="1">
      <c r="A546" s="4" t="s">
        <v>1036</v>
      </c>
      <c r="B546" s="8"/>
      <c r="C546" s="6" t="s">
        <v>199</v>
      </c>
      <c r="D546" s="7">
        <f>AVERAGE(D436,D430,D532)</f>
        <v>16.81862857</v>
      </c>
    </row>
    <row r="547" ht="25.5" customHeight="1">
      <c r="A547" s="4" t="s">
        <v>1037</v>
      </c>
      <c r="B547" s="8"/>
      <c r="C547" s="6" t="s">
        <v>1038</v>
      </c>
      <c r="D547" s="7">
        <f>AVERAGE(D521,D487)</f>
        <v>13.93815175</v>
      </c>
    </row>
    <row r="548" ht="25.5" customHeight="1">
      <c r="A548" s="4" t="s">
        <v>1039</v>
      </c>
      <c r="B548" s="8"/>
      <c r="C548" s="6" t="s">
        <v>1040</v>
      </c>
      <c r="D548" s="7">
        <f>AVERAGE(D533,D477)</f>
        <v>15.94691111</v>
      </c>
    </row>
    <row r="549" ht="25.5" customHeight="1">
      <c r="A549" s="4" t="s">
        <v>1041</v>
      </c>
      <c r="B549" s="11"/>
      <c r="C549" s="6" t="s">
        <v>1042</v>
      </c>
      <c r="D549" s="7">
        <f>AVERAGE(D430,D532,D527)</f>
        <v>17.81820714</v>
      </c>
    </row>
    <row r="550" ht="25.5" customHeight="1">
      <c r="A550" s="4" t="s">
        <v>1043</v>
      </c>
      <c r="B550" s="5" t="s">
        <v>1044</v>
      </c>
      <c r="C550" s="6" t="s">
        <v>1045</v>
      </c>
      <c r="D550" s="7">
        <f>D551</f>
        <v>22.63</v>
      </c>
    </row>
    <row r="551" ht="25.5" customHeight="1">
      <c r="A551" s="4" t="s">
        <v>1046</v>
      </c>
      <c r="B551" s="8"/>
      <c r="C551" s="9" t="s">
        <v>1047</v>
      </c>
      <c r="D551" s="7">
        <v>22.63</v>
      </c>
      <c r="E551" s="10" t="s">
        <v>1048</v>
      </c>
    </row>
    <row r="552" ht="25.5" customHeight="1">
      <c r="A552" s="4" t="s">
        <v>1049</v>
      </c>
      <c r="B552" s="8"/>
      <c r="C552" s="6" t="s">
        <v>1050</v>
      </c>
      <c r="D552" s="7">
        <f>D551</f>
        <v>22.63</v>
      </c>
    </row>
    <row r="553" ht="25.5" customHeight="1">
      <c r="A553" s="4" t="s">
        <v>1051</v>
      </c>
      <c r="B553" s="8"/>
      <c r="C553" s="6" t="s">
        <v>1052</v>
      </c>
      <c r="D553" s="7">
        <f>D551</f>
        <v>22.63</v>
      </c>
    </row>
    <row r="554" ht="25.5" customHeight="1">
      <c r="A554" s="4" t="s">
        <v>1053</v>
      </c>
      <c r="B554" s="11"/>
      <c r="C554" s="6" t="s">
        <v>1054</v>
      </c>
      <c r="D554" s="7">
        <f>D551</f>
        <v>22.63</v>
      </c>
    </row>
    <row r="555" ht="25.5" customHeight="1">
      <c r="A555" s="4" t="s">
        <v>1055</v>
      </c>
      <c r="B555" s="5" t="s">
        <v>1056</v>
      </c>
      <c r="C555" s="6" t="s">
        <v>1057</v>
      </c>
      <c r="D555" s="12">
        <f>D1865+(((D631-D1865)/9)*6)</f>
        <v>9.944466667</v>
      </c>
    </row>
    <row r="556" ht="25.5" customHeight="1">
      <c r="A556" s="4" t="s">
        <v>1058</v>
      </c>
      <c r="B556" s="8"/>
      <c r="C556" s="6" t="s">
        <v>499</v>
      </c>
      <c r="D556" s="7">
        <f>AVERAGE(D569,D555)</f>
        <v>10.22742778</v>
      </c>
    </row>
    <row r="557" ht="25.5" customHeight="1">
      <c r="A557" s="4" t="s">
        <v>1059</v>
      </c>
      <c r="B557" s="8"/>
      <c r="C557" s="6" t="s">
        <v>1060</v>
      </c>
      <c r="D557" s="7">
        <f>AVERAGE(D1345,D3058)</f>
        <v>5.656592857</v>
      </c>
    </row>
    <row r="558" ht="25.5" customHeight="1">
      <c r="A558" s="4" t="s">
        <v>1061</v>
      </c>
      <c r="B558" s="8"/>
      <c r="C558" s="6" t="s">
        <v>1062</v>
      </c>
      <c r="D558" s="7">
        <f>D647</f>
        <v>5.4978</v>
      </c>
    </row>
    <row r="559" ht="25.5" customHeight="1">
      <c r="A559" s="4" t="s">
        <v>1063</v>
      </c>
      <c r="B559" s="8"/>
      <c r="C559" s="6" t="s">
        <v>1064</v>
      </c>
      <c r="D559" s="7">
        <f>D569</f>
        <v>10.51038889</v>
      </c>
    </row>
    <row r="560" ht="25.5" customHeight="1">
      <c r="A560" s="4" t="s">
        <v>1065</v>
      </c>
      <c r="B560" s="8"/>
      <c r="C560" s="6" t="s">
        <v>210</v>
      </c>
      <c r="D560" s="7">
        <f>D606</f>
        <v>40.47</v>
      </c>
    </row>
    <row r="561" ht="25.5" customHeight="1">
      <c r="A561" s="4" t="s">
        <v>1066</v>
      </c>
      <c r="B561" s="8"/>
      <c r="C561" s="6" t="s">
        <v>1067</v>
      </c>
      <c r="D561" s="7">
        <f>D606</f>
        <v>40.47</v>
      </c>
    </row>
    <row r="562" ht="25.5" customHeight="1">
      <c r="A562" s="4" t="s">
        <v>1068</v>
      </c>
      <c r="B562" s="8"/>
      <c r="C562" s="6" t="s">
        <v>212</v>
      </c>
      <c r="D562" s="7">
        <f>AVERAGE(D579,D631,D639,D594)</f>
        <v>8.947955556</v>
      </c>
    </row>
    <row r="563" ht="25.5" customHeight="1">
      <c r="A563" s="4" t="s">
        <v>1069</v>
      </c>
      <c r="B563" s="8"/>
      <c r="C563" s="6" t="s">
        <v>1070</v>
      </c>
      <c r="D563" s="7">
        <f>D561</f>
        <v>40.47</v>
      </c>
    </row>
    <row r="564" ht="25.5" customHeight="1">
      <c r="A564" s="4" t="s">
        <v>1071</v>
      </c>
      <c r="B564" s="8"/>
      <c r="C564" s="6" t="s">
        <v>1072</v>
      </c>
      <c r="D564" s="7">
        <f>D606</f>
        <v>40.47</v>
      </c>
    </row>
    <row r="565" ht="25.5" customHeight="1">
      <c r="A565" s="4" t="s">
        <v>1073</v>
      </c>
      <c r="B565" s="8"/>
      <c r="C565" s="6" t="s">
        <v>1074</v>
      </c>
      <c r="D565" s="7">
        <f>D572</f>
        <v>10.55064204</v>
      </c>
    </row>
    <row r="566" ht="25.5" customHeight="1">
      <c r="A566" s="4" t="s">
        <v>1075</v>
      </c>
      <c r="B566" s="8"/>
      <c r="C566" s="6" t="s">
        <v>80</v>
      </c>
      <c r="D566" s="7">
        <f>AVERAGE(D589,D561)</f>
        <v>25.42625</v>
      </c>
    </row>
    <row r="567" ht="25.5" customHeight="1">
      <c r="A567" s="4" t="s">
        <v>1076</v>
      </c>
      <c r="B567" s="8"/>
      <c r="C567" s="6" t="s">
        <v>82</v>
      </c>
      <c r="D567" s="7">
        <f>AVERAGE(D648,D591)</f>
        <v>9.292686111</v>
      </c>
    </row>
    <row r="568" ht="25.5" customHeight="1">
      <c r="A568" s="4" t="s">
        <v>1077</v>
      </c>
      <c r="B568" s="8"/>
      <c r="C568" s="6" t="s">
        <v>218</v>
      </c>
      <c r="D568" s="7">
        <f>AVERAGE(D591,D593,D559,D578)</f>
        <v>9.856855155</v>
      </c>
    </row>
    <row r="569" ht="25.5" customHeight="1">
      <c r="A569" s="4" t="s">
        <v>1078</v>
      </c>
      <c r="B569" s="8"/>
      <c r="C569" s="6" t="s">
        <v>1079</v>
      </c>
      <c r="D569" s="12">
        <f>D1865+(((D631-D1865)/9)*5)</f>
        <v>10.51038889</v>
      </c>
    </row>
    <row r="570" ht="25.5" customHeight="1">
      <c r="A570" s="4" t="s">
        <v>1080</v>
      </c>
      <c r="B570" s="8"/>
      <c r="C570" s="6" t="s">
        <v>1081</v>
      </c>
      <c r="D570" s="7">
        <f>D606+(((D730-D606)/7)*1)</f>
        <v>35.09584286</v>
      </c>
    </row>
    <row r="571" ht="25.5" customHeight="1">
      <c r="A571" s="4" t="s">
        <v>1082</v>
      </c>
      <c r="B571" s="8"/>
      <c r="C571" s="6" t="s">
        <v>1083</v>
      </c>
      <c r="D571" s="12">
        <f>D1383+(((D639-D1383)/8)*4)</f>
        <v>10.789</v>
      </c>
    </row>
    <row r="572" ht="25.5" customHeight="1">
      <c r="A572" s="4" t="s">
        <v>1084</v>
      </c>
      <c r="B572" s="8"/>
      <c r="C572" s="6" t="s">
        <v>86</v>
      </c>
      <c r="D572" s="7">
        <f>D651</f>
        <v>10.55064204</v>
      </c>
    </row>
    <row r="573" ht="25.5" customHeight="1">
      <c r="A573" s="4" t="s">
        <v>1085</v>
      </c>
      <c r="B573" s="8"/>
      <c r="C573" s="6" t="s">
        <v>1086</v>
      </c>
      <c r="D573" s="7">
        <f>AVERAGE(D587,D563,D588,D599)</f>
        <v>25.300875</v>
      </c>
    </row>
    <row r="574" ht="25.5" customHeight="1">
      <c r="A574" s="4" t="s">
        <v>1087</v>
      </c>
      <c r="B574" s="8"/>
      <c r="C574" s="6" t="s">
        <v>92</v>
      </c>
      <c r="D574" s="7">
        <f>D639+(((D996-D639)/10)*3)</f>
        <v>6.4141</v>
      </c>
    </row>
    <row r="575" ht="25.5" customHeight="1">
      <c r="A575" s="4" t="s">
        <v>1088</v>
      </c>
      <c r="B575" s="8"/>
      <c r="C575" s="6" t="s">
        <v>94</v>
      </c>
      <c r="D575" s="7">
        <f>D584</f>
        <v>10.81348649</v>
      </c>
    </row>
    <row r="576" ht="25.5" customHeight="1">
      <c r="A576" s="4" t="s">
        <v>1089</v>
      </c>
      <c r="B576" s="8"/>
      <c r="C576" s="6" t="s">
        <v>824</v>
      </c>
      <c r="D576" s="7">
        <f>AVERAGE(D582,D587)</f>
        <v>40.47</v>
      </c>
    </row>
    <row r="577" ht="25.5" customHeight="1">
      <c r="A577" s="4" t="s">
        <v>1090</v>
      </c>
      <c r="B577" s="8"/>
      <c r="C577" s="9" t="s">
        <v>1091</v>
      </c>
      <c r="D577" s="7">
        <v>0.0</v>
      </c>
      <c r="E577" s="10" t="s">
        <v>1091</v>
      </c>
    </row>
    <row r="578" ht="25.5" customHeight="1">
      <c r="A578" s="4" t="s">
        <v>1092</v>
      </c>
      <c r="B578" s="8"/>
      <c r="C578" s="6" t="s">
        <v>234</v>
      </c>
      <c r="D578" s="7">
        <f>D621</f>
        <v>10.72586507</v>
      </c>
    </row>
    <row r="579" ht="25.5" customHeight="1">
      <c r="A579" s="4" t="s">
        <v>1093</v>
      </c>
      <c r="B579" s="8"/>
      <c r="C579" s="6" t="s">
        <v>114</v>
      </c>
      <c r="D579" s="12">
        <f>D1865+(((D631-D1865)/9)*8)</f>
        <v>8.812622222</v>
      </c>
    </row>
    <row r="580" ht="25.5" customHeight="1">
      <c r="A580" s="4" t="s">
        <v>1094</v>
      </c>
      <c r="B580" s="8"/>
      <c r="C580" s="6" t="s">
        <v>1095</v>
      </c>
      <c r="D580" s="7">
        <f>AVERAGE(D644,D558)</f>
        <v>2.7489</v>
      </c>
    </row>
    <row r="581" ht="25.5" customHeight="1">
      <c r="A581" s="4" t="s">
        <v>1096</v>
      </c>
      <c r="B581" s="8"/>
      <c r="C581" s="6" t="s">
        <v>847</v>
      </c>
      <c r="D581" s="7">
        <f>D639+(((D996-D639)/10)*4)</f>
        <v>5.4978</v>
      </c>
    </row>
    <row r="582" ht="25.5" customHeight="1">
      <c r="A582" s="4" t="s">
        <v>1097</v>
      </c>
      <c r="B582" s="8"/>
      <c r="C582" s="6" t="s">
        <v>1098</v>
      </c>
      <c r="D582" s="7">
        <f>AVERAGE(D611,D564)</f>
        <v>40.47</v>
      </c>
    </row>
    <row r="583" ht="25.5" customHeight="1">
      <c r="A583" s="4" t="s">
        <v>1099</v>
      </c>
      <c r="B583" s="8"/>
      <c r="C583" s="6" t="s">
        <v>1100</v>
      </c>
      <c r="D583" s="7">
        <f>D612</f>
        <v>20.235</v>
      </c>
    </row>
    <row r="584" ht="25.5" customHeight="1">
      <c r="A584" s="4" t="s">
        <v>1101</v>
      </c>
      <c r="B584" s="8"/>
      <c r="C584" s="6" t="s">
        <v>1102</v>
      </c>
      <c r="D584" s="7">
        <f>D1349</f>
        <v>10.81348649</v>
      </c>
    </row>
    <row r="585" ht="25.5" customHeight="1">
      <c r="A585" s="4" t="s">
        <v>1103</v>
      </c>
      <c r="B585" s="8"/>
      <c r="C585" s="6" t="s">
        <v>1104</v>
      </c>
      <c r="D585" s="7">
        <f>AVERAGE(D603,D607,D582)</f>
        <v>21.88620476</v>
      </c>
    </row>
    <row r="586" ht="25.5" customHeight="1">
      <c r="A586" s="4" t="s">
        <v>1105</v>
      </c>
      <c r="B586" s="8"/>
      <c r="C586" s="6" t="s">
        <v>1106</v>
      </c>
      <c r="D586" s="7">
        <f>AVERAGE(D1362,D1349)</f>
        <v>10.94490541</v>
      </c>
    </row>
    <row r="587" ht="25.5" customHeight="1">
      <c r="A587" s="4" t="s">
        <v>1107</v>
      </c>
      <c r="B587" s="8"/>
      <c r="C587" s="6" t="s">
        <v>124</v>
      </c>
      <c r="D587" s="7">
        <f>D564</f>
        <v>40.47</v>
      </c>
    </row>
    <row r="588" ht="25.5" customHeight="1">
      <c r="A588" s="4" t="s">
        <v>1108</v>
      </c>
      <c r="B588" s="8"/>
      <c r="C588" s="6" t="s">
        <v>872</v>
      </c>
      <c r="D588" s="7">
        <f>D571</f>
        <v>10.789</v>
      </c>
    </row>
    <row r="589" ht="25.5" customHeight="1">
      <c r="A589" s="4" t="s">
        <v>1109</v>
      </c>
      <c r="B589" s="8"/>
      <c r="C589" s="6" t="s">
        <v>126</v>
      </c>
      <c r="D589" s="12">
        <f>D1383+(((D639-D1383)/8)*5)</f>
        <v>10.3825</v>
      </c>
    </row>
    <row r="590" ht="25.5" customHeight="1">
      <c r="A590" s="4" t="s">
        <v>1110</v>
      </c>
      <c r="B590" s="8"/>
      <c r="C590" s="6" t="s">
        <v>370</v>
      </c>
      <c r="D590" s="7">
        <f>D632+(((D996-D632)/8)*2)</f>
        <v>8.307233333</v>
      </c>
    </row>
    <row r="591" ht="25.5" customHeight="1">
      <c r="A591" s="4" t="s">
        <v>1111</v>
      </c>
      <c r="B591" s="8"/>
      <c r="C591" s="6" t="s">
        <v>130</v>
      </c>
      <c r="D591" s="7">
        <f>D579</f>
        <v>8.812622222</v>
      </c>
    </row>
    <row r="592" ht="25.5" customHeight="1">
      <c r="A592" s="4" t="s">
        <v>1112</v>
      </c>
      <c r="B592" s="8"/>
      <c r="C592" s="6" t="s">
        <v>1113</v>
      </c>
      <c r="D592" s="7">
        <f>AVERAGE(D618,D561)</f>
        <v>24.8165</v>
      </c>
    </row>
    <row r="593" ht="25.5" customHeight="1">
      <c r="A593" s="4" t="s">
        <v>1114</v>
      </c>
      <c r="B593" s="8"/>
      <c r="C593" s="6" t="s">
        <v>1115</v>
      </c>
      <c r="D593" s="7">
        <f>AVERAGE(D555,D579)</f>
        <v>9.378544444</v>
      </c>
    </row>
    <row r="594" ht="25.5" customHeight="1">
      <c r="A594" s="4" t="s">
        <v>1116</v>
      </c>
      <c r="B594" s="8"/>
      <c r="C594" s="6" t="s">
        <v>689</v>
      </c>
      <c r="D594" s="12">
        <f>D1383+(((D639-D1383)/8)*7)</f>
        <v>9.5695</v>
      </c>
    </row>
    <row r="595" ht="25.5" customHeight="1">
      <c r="A595" s="4" t="s">
        <v>1117</v>
      </c>
      <c r="B595" s="8"/>
      <c r="C595" s="6" t="s">
        <v>896</v>
      </c>
      <c r="D595" s="7">
        <f>AVERAGE(D653,D571)</f>
        <v>10.3825</v>
      </c>
    </row>
    <row r="596" ht="25.5" customHeight="1">
      <c r="A596" s="4" t="s">
        <v>1118</v>
      </c>
      <c r="B596" s="8"/>
      <c r="C596" s="6" t="s">
        <v>1119</v>
      </c>
      <c r="D596" s="7">
        <f>AVERAGE(D618,D639,D594,D589)</f>
        <v>9.5695</v>
      </c>
    </row>
    <row r="597" ht="25.5" customHeight="1">
      <c r="A597" s="4" t="s">
        <v>1120</v>
      </c>
      <c r="B597" s="8"/>
      <c r="C597" s="6" t="s">
        <v>213</v>
      </c>
      <c r="D597" s="12">
        <f>D2414+(((D632-D2414)/6)*5)</f>
        <v>10.90108809</v>
      </c>
    </row>
    <row r="598" ht="25.5" customHeight="1">
      <c r="A598" s="4" t="s">
        <v>1121</v>
      </c>
      <c r="B598" s="8"/>
      <c r="C598" s="6" t="s">
        <v>134</v>
      </c>
      <c r="D598" s="7">
        <f>AVERAGE(D646,D612)</f>
        <v>28.33854375</v>
      </c>
    </row>
    <row r="599" ht="25.5" customHeight="1">
      <c r="A599" s="4" t="s">
        <v>1122</v>
      </c>
      <c r="B599" s="8"/>
      <c r="C599" s="6" t="s">
        <v>259</v>
      </c>
      <c r="D599" s="7">
        <f>D1367</f>
        <v>9.4745</v>
      </c>
    </row>
    <row r="600" ht="25.5" customHeight="1">
      <c r="A600" s="4" t="s">
        <v>1123</v>
      </c>
      <c r="B600" s="8"/>
      <c r="C600" s="6" t="s">
        <v>392</v>
      </c>
      <c r="D600" s="7">
        <f>D653</f>
        <v>9.976</v>
      </c>
    </row>
    <row r="601" ht="25.5" customHeight="1">
      <c r="A601" s="4" t="s">
        <v>1124</v>
      </c>
      <c r="B601" s="8"/>
      <c r="C601" s="6" t="s">
        <v>1125</v>
      </c>
      <c r="D601" s="7">
        <f>D651</f>
        <v>10.55064204</v>
      </c>
    </row>
    <row r="602" ht="25.5" customHeight="1">
      <c r="A602" s="4" t="s">
        <v>1126</v>
      </c>
      <c r="B602" s="8"/>
      <c r="C602" s="6" t="s">
        <v>1127</v>
      </c>
      <c r="D602" s="7">
        <f>D631+(((D606-D631)/4)*3)</f>
        <v>32.414175</v>
      </c>
    </row>
    <row r="603" ht="25.5" customHeight="1">
      <c r="A603" s="4" t="s">
        <v>1128</v>
      </c>
      <c r="B603" s="8"/>
      <c r="C603" s="6" t="s">
        <v>138</v>
      </c>
      <c r="D603" s="7">
        <f>D577</f>
        <v>0</v>
      </c>
    </row>
    <row r="604" ht="25.5" customHeight="1">
      <c r="A604" s="4" t="s">
        <v>1129</v>
      </c>
      <c r="B604" s="8"/>
      <c r="C604" s="6" t="s">
        <v>912</v>
      </c>
      <c r="D604" s="7">
        <f>D631+(((D606-D631)/4)*1)</f>
        <v>16.302525</v>
      </c>
    </row>
    <row r="605" ht="25.5" customHeight="1">
      <c r="A605" s="4" t="s">
        <v>1130</v>
      </c>
      <c r="B605" s="8"/>
      <c r="C605" s="6" t="s">
        <v>140</v>
      </c>
      <c r="D605" s="7">
        <f>AVERAGE(D608,D646,D644)</f>
        <v>18.45542083</v>
      </c>
    </row>
    <row r="606" ht="25.5" customHeight="1">
      <c r="A606" s="4" t="s">
        <v>1131</v>
      </c>
      <c r="B606" s="8"/>
      <c r="C606" s="9" t="s">
        <v>267</v>
      </c>
      <c r="D606" s="7">
        <v>40.47</v>
      </c>
      <c r="E606" s="10" t="s">
        <v>1132</v>
      </c>
    </row>
    <row r="607" ht="25.5" customHeight="1">
      <c r="A607" s="4" t="s">
        <v>1133</v>
      </c>
      <c r="B607" s="8"/>
      <c r="C607" s="6" t="s">
        <v>920</v>
      </c>
      <c r="D607" s="7">
        <f>AVERAGE(D577,D570,D611)</f>
        <v>25.18861429</v>
      </c>
    </row>
    <row r="608" ht="25.5" customHeight="1">
      <c r="A608" s="4" t="s">
        <v>1134</v>
      </c>
      <c r="B608" s="8"/>
      <c r="C608" s="6" t="s">
        <v>1135</v>
      </c>
      <c r="D608" s="7">
        <f>AVERAGE(D633,D602,D644)</f>
        <v>18.924175</v>
      </c>
    </row>
    <row r="609" ht="25.5" customHeight="1">
      <c r="A609" s="4" t="s">
        <v>1136</v>
      </c>
      <c r="B609" s="8"/>
      <c r="C609" s="6" t="s">
        <v>1137</v>
      </c>
      <c r="D609" s="7">
        <f>AVERAGE(D1339,D1362)</f>
        <v>11.20774324</v>
      </c>
    </row>
    <row r="610" ht="25.5" customHeight="1">
      <c r="A610" s="4" t="s">
        <v>1138</v>
      </c>
      <c r="B610" s="8"/>
      <c r="C610" s="6" t="s">
        <v>149</v>
      </c>
      <c r="D610" s="7">
        <f>D732</f>
        <v>2.1801</v>
      </c>
    </row>
    <row r="611" ht="25.5" customHeight="1">
      <c r="A611" s="4" t="s">
        <v>1139</v>
      </c>
      <c r="B611" s="8"/>
      <c r="C611" s="6" t="s">
        <v>1140</v>
      </c>
      <c r="D611" s="7">
        <f>D606</f>
        <v>40.47</v>
      </c>
    </row>
    <row r="612" ht="25.5" customHeight="1">
      <c r="A612" s="4" t="s">
        <v>1141</v>
      </c>
      <c r="B612" s="8"/>
      <c r="C612" s="6" t="s">
        <v>1142</v>
      </c>
      <c r="D612" s="7">
        <f>AVERAGE(D606,D624)</f>
        <v>20.235</v>
      </c>
    </row>
    <row r="613" ht="25.5" customHeight="1">
      <c r="A613" s="4" t="s">
        <v>1143</v>
      </c>
      <c r="B613" s="8"/>
      <c r="C613" s="6" t="s">
        <v>1144</v>
      </c>
      <c r="D613" s="7">
        <f>AVERAGE(D574,D645)</f>
        <v>6.87225</v>
      </c>
    </row>
    <row r="614" ht="25.5" customHeight="1">
      <c r="A614" s="4" t="s">
        <v>1145</v>
      </c>
      <c r="B614" s="8"/>
      <c r="C614" s="6" t="s">
        <v>1146</v>
      </c>
      <c r="D614" s="7">
        <f>AVERAGE(D2406,D2414,D1384,D1370)</f>
        <v>10.26590711</v>
      </c>
    </row>
    <row r="615" ht="25.5" customHeight="1">
      <c r="A615" s="4" t="s">
        <v>1147</v>
      </c>
      <c r="B615" s="8"/>
      <c r="C615" s="6" t="s">
        <v>157</v>
      </c>
      <c r="D615" s="12">
        <f>D1865+(((D631-D1865)/9)*7)</f>
        <v>9.378544444</v>
      </c>
    </row>
    <row r="616" ht="25.5" customHeight="1">
      <c r="A616" s="4" t="s">
        <v>1148</v>
      </c>
      <c r="B616" s="8"/>
      <c r="C616" s="6" t="s">
        <v>1149</v>
      </c>
      <c r="D616" s="7">
        <f>AVERAGE(D604,D633,D644)</f>
        <v>13.553625</v>
      </c>
    </row>
    <row r="617" ht="25.5" customHeight="1">
      <c r="A617" s="4" t="s">
        <v>1150</v>
      </c>
      <c r="B617" s="8"/>
      <c r="C617" s="6" t="s">
        <v>161</v>
      </c>
      <c r="D617" s="7">
        <f>AVERAGE(D645,D604)</f>
        <v>11.8164625</v>
      </c>
    </row>
    <row r="618" ht="25.5" customHeight="1">
      <c r="A618" s="4" t="s">
        <v>1151</v>
      </c>
      <c r="B618" s="8"/>
      <c r="C618" s="9" t="s">
        <v>163</v>
      </c>
      <c r="D618" s="7">
        <v>9.163</v>
      </c>
      <c r="E618" s="10" t="s">
        <v>1152</v>
      </c>
    </row>
    <row r="619" ht="25.5" customHeight="1">
      <c r="A619" s="4" t="s">
        <v>1153</v>
      </c>
      <c r="B619" s="8"/>
      <c r="C619" s="6" t="s">
        <v>1154</v>
      </c>
      <c r="D619" s="7">
        <f>D632+(((D996-D632)/8)*1)</f>
        <v>9.691772222</v>
      </c>
    </row>
    <row r="620" ht="25.5" customHeight="1">
      <c r="A620" s="4" t="s">
        <v>1155</v>
      </c>
      <c r="B620" s="8"/>
      <c r="C620" s="6" t="s">
        <v>945</v>
      </c>
      <c r="D620" s="7">
        <f>AVERAGE(D652,D1367)</f>
        <v>10.335</v>
      </c>
    </row>
    <row r="621" ht="25.5" customHeight="1">
      <c r="A621" s="4" t="s">
        <v>1156</v>
      </c>
      <c r="B621" s="8"/>
      <c r="C621" s="6" t="s">
        <v>1157</v>
      </c>
      <c r="D621" s="12">
        <f>D2414+(((D632-D2414)/6)*4)</f>
        <v>10.72586507</v>
      </c>
    </row>
    <row r="622" ht="25.5" customHeight="1">
      <c r="A622" s="4" t="s">
        <v>1158</v>
      </c>
      <c r="B622" s="8"/>
      <c r="C622" s="6" t="s">
        <v>167</v>
      </c>
      <c r="D622" s="7">
        <f>AVERAGE(D613,D617,D616,D644)</f>
        <v>8.060584375</v>
      </c>
    </row>
    <row r="623" ht="25.5" customHeight="1">
      <c r="A623" s="4" t="s">
        <v>1159</v>
      </c>
      <c r="B623" s="8"/>
      <c r="C623" s="6" t="s">
        <v>169</v>
      </c>
      <c r="D623" s="7">
        <f>AVERAGE(D569,D632,D619)</f>
        <v>10.42615741</v>
      </c>
    </row>
    <row r="624" ht="25.5" customHeight="1">
      <c r="A624" s="4" t="s">
        <v>1160</v>
      </c>
      <c r="B624" s="8"/>
      <c r="C624" s="9" t="s">
        <v>1161</v>
      </c>
      <c r="D624" s="7">
        <v>0.0</v>
      </c>
      <c r="E624" s="10" t="s">
        <v>1161</v>
      </c>
    </row>
    <row r="625" ht="25.5" customHeight="1">
      <c r="A625" s="4" t="s">
        <v>1162</v>
      </c>
      <c r="B625" s="8"/>
      <c r="C625" s="6" t="s">
        <v>1163</v>
      </c>
      <c r="D625" s="7">
        <f>AVERAGE(D626,D638,D572)</f>
        <v>10.50683904</v>
      </c>
    </row>
    <row r="626" ht="25.5" customHeight="1">
      <c r="A626" s="4" t="s">
        <v>1164</v>
      </c>
      <c r="B626" s="8"/>
      <c r="C626" s="6" t="s">
        <v>735</v>
      </c>
      <c r="D626" s="7">
        <f>AVERAGE(D1349,D1370)</f>
        <v>10.68206757</v>
      </c>
    </row>
    <row r="627" ht="25.5" customHeight="1">
      <c r="A627" s="4" t="s">
        <v>1165</v>
      </c>
      <c r="B627" s="8"/>
      <c r="C627" s="6" t="s">
        <v>1166</v>
      </c>
      <c r="D627" s="7">
        <f>AVERAGE(D590,D1407)</f>
        <v>7.614963889</v>
      </c>
    </row>
    <row r="628" ht="25.5" customHeight="1">
      <c r="A628" s="4" t="s">
        <v>1167</v>
      </c>
      <c r="B628" s="8"/>
      <c r="C628" s="6" t="s">
        <v>1168</v>
      </c>
      <c r="D628" s="7">
        <f>AVERAGE(D586,D609)</f>
        <v>11.07632432</v>
      </c>
    </row>
    <row r="629" ht="25.5" customHeight="1">
      <c r="A629" s="4" t="s">
        <v>1169</v>
      </c>
      <c r="B629" s="8"/>
      <c r="C629" s="6" t="s">
        <v>1170</v>
      </c>
      <c r="D629" s="7">
        <f>AVERAGE(D2428,D651)</f>
        <v>10.46303053</v>
      </c>
    </row>
    <row r="630" ht="25.5" customHeight="1">
      <c r="A630" s="4" t="s">
        <v>1171</v>
      </c>
      <c r="B630" s="8"/>
      <c r="C630" s="6" t="s">
        <v>1172</v>
      </c>
      <c r="D630" s="7">
        <f>AVERAGE(D600,D648)</f>
        <v>9.874375</v>
      </c>
    </row>
    <row r="631" ht="25.5" customHeight="1">
      <c r="A631" s="4" t="s">
        <v>1173</v>
      </c>
      <c r="B631" s="8"/>
      <c r="C631" s="6" t="s">
        <v>301</v>
      </c>
      <c r="D631" s="7">
        <f>D639+(((D996-D639)/10)*1)</f>
        <v>8.2467</v>
      </c>
    </row>
    <row r="632" ht="25.5" customHeight="1">
      <c r="A632" s="4" t="s">
        <v>1174</v>
      </c>
      <c r="B632" s="8"/>
      <c r="C632" s="6" t="s">
        <v>1175</v>
      </c>
      <c r="D632" s="12">
        <f>D1865+(((D631-D1865)/9)*4)</f>
        <v>11.07631111</v>
      </c>
    </row>
    <row r="633" ht="25.5" customHeight="1">
      <c r="A633" s="4" t="s">
        <v>1176</v>
      </c>
      <c r="B633" s="8"/>
      <c r="C633" s="6" t="s">
        <v>1177</v>
      </c>
      <c r="D633" s="7">
        <f>D631+(((D606-D631)/4)*2)</f>
        <v>24.35835</v>
      </c>
    </row>
    <row r="634" ht="25.5" customHeight="1">
      <c r="A634" s="4" t="s">
        <v>1178</v>
      </c>
      <c r="B634" s="8"/>
      <c r="C634" s="6" t="s">
        <v>1179</v>
      </c>
      <c r="D634" s="7">
        <f>AVERAGE(D581,D1445)</f>
        <v>5.03965</v>
      </c>
    </row>
    <row r="635" ht="25.5" customHeight="1">
      <c r="A635" s="4" t="s">
        <v>1180</v>
      </c>
      <c r="B635" s="8"/>
      <c r="C635" s="6" t="s">
        <v>1181</v>
      </c>
      <c r="D635" s="7">
        <f>AVERAGE(D578,D601)</f>
        <v>10.63825355</v>
      </c>
    </row>
    <row r="636" ht="25.5" customHeight="1">
      <c r="A636" s="4" t="s">
        <v>1182</v>
      </c>
      <c r="B636" s="8"/>
      <c r="C636" s="6" t="s">
        <v>312</v>
      </c>
      <c r="D636" s="7">
        <f>D606+(((D730-D606)/7)*2)</f>
        <v>29.72168571</v>
      </c>
    </row>
    <row r="637" ht="25.5" customHeight="1">
      <c r="A637" s="4" t="s">
        <v>1183</v>
      </c>
      <c r="B637" s="8"/>
      <c r="C637" s="6" t="s">
        <v>183</v>
      </c>
      <c r="D637" s="7">
        <f>AVERAGE(D597,D632,D569)</f>
        <v>10.8292627</v>
      </c>
    </row>
    <row r="638" ht="25.5" customHeight="1">
      <c r="A638" s="4" t="s">
        <v>1184</v>
      </c>
      <c r="B638" s="8"/>
      <c r="C638" s="6" t="s">
        <v>1185</v>
      </c>
      <c r="D638" s="7">
        <f>AVERAGE(D2406,D2428)</f>
        <v>10.28780751</v>
      </c>
    </row>
    <row r="639" ht="25.5" customHeight="1">
      <c r="A639" s="4" t="s">
        <v>1186</v>
      </c>
      <c r="B639" s="8"/>
      <c r="C639" s="6" t="s">
        <v>1187</v>
      </c>
      <c r="D639" s="7">
        <f>D618</f>
        <v>9.163</v>
      </c>
    </row>
    <row r="640" ht="25.5" customHeight="1">
      <c r="A640" s="4" t="s">
        <v>1188</v>
      </c>
      <c r="B640" s="8"/>
      <c r="C640" s="6" t="s">
        <v>1189</v>
      </c>
      <c r="D640" s="7">
        <f>AVERAGE(D618,D633,D560,D561)</f>
        <v>28.6153375</v>
      </c>
    </row>
    <row r="641" ht="25.5" customHeight="1">
      <c r="A641" s="4" t="s">
        <v>1190</v>
      </c>
      <c r="B641" s="8"/>
      <c r="C641" s="6" t="s">
        <v>759</v>
      </c>
      <c r="D641" s="7">
        <f>AVERAGE(D627,D556,D634,D1518,D1478)</f>
        <v>6.600339444</v>
      </c>
    </row>
    <row r="642" ht="25.5" customHeight="1">
      <c r="A642" s="4" t="s">
        <v>1191</v>
      </c>
      <c r="B642" s="8"/>
      <c r="C642" s="6" t="s">
        <v>326</v>
      </c>
      <c r="D642" s="7">
        <f>AVERAGE(D555,D615,D574)</f>
        <v>8.579037037</v>
      </c>
    </row>
    <row r="643" ht="25.5" customHeight="1">
      <c r="A643" s="4" t="s">
        <v>1192</v>
      </c>
      <c r="B643" s="8"/>
      <c r="C643" s="6" t="s">
        <v>328</v>
      </c>
      <c r="D643" s="7">
        <f>AVERAGE(D605,D598,D610,D1427)</f>
        <v>12.78854115</v>
      </c>
    </row>
    <row r="644" ht="25.5" customHeight="1">
      <c r="A644" s="4" t="s">
        <v>1193</v>
      </c>
      <c r="B644" s="8"/>
      <c r="C644" s="9" t="s">
        <v>1194</v>
      </c>
      <c r="D644" s="7">
        <v>0.0</v>
      </c>
      <c r="E644" s="10" t="s">
        <v>1195</v>
      </c>
    </row>
    <row r="645" ht="25.5" customHeight="1">
      <c r="A645" s="4" t="s">
        <v>1196</v>
      </c>
      <c r="B645" s="8"/>
      <c r="C645" s="6" t="s">
        <v>1025</v>
      </c>
      <c r="D645" s="7">
        <f>D639+(((D996-D639)/10)*2)</f>
        <v>7.3304</v>
      </c>
    </row>
    <row r="646" ht="25.5" customHeight="1">
      <c r="A646" s="4" t="s">
        <v>1197</v>
      </c>
      <c r="B646" s="8"/>
      <c r="C646" s="6" t="s">
        <v>197</v>
      </c>
      <c r="D646" s="7">
        <f>AVERAGE(D602,D606)</f>
        <v>36.4420875</v>
      </c>
    </row>
    <row r="647" ht="25.5" customHeight="1">
      <c r="A647" s="4" t="s">
        <v>1198</v>
      </c>
      <c r="B647" s="8"/>
      <c r="C647" s="6" t="s">
        <v>1028</v>
      </c>
      <c r="D647" s="7">
        <f>D581</f>
        <v>5.4978</v>
      </c>
    </row>
    <row r="648" ht="25.5" customHeight="1">
      <c r="A648" s="4" t="s">
        <v>1199</v>
      </c>
      <c r="B648" s="8"/>
      <c r="C648" s="6" t="s">
        <v>1030</v>
      </c>
      <c r="D648" s="7">
        <f>AVERAGE(D594,D653)</f>
        <v>9.77275</v>
      </c>
    </row>
    <row r="649" ht="25.5" customHeight="1">
      <c r="A649" s="4" t="s">
        <v>1200</v>
      </c>
      <c r="B649" s="8"/>
      <c r="C649" s="6" t="s">
        <v>1201</v>
      </c>
      <c r="D649" s="7">
        <f>AVERAGE(D652,D1341,D1339)</f>
        <v>11.37888739</v>
      </c>
    </row>
    <row r="650" ht="25.5" customHeight="1">
      <c r="A650" s="4" t="s">
        <v>1202</v>
      </c>
      <c r="B650" s="8"/>
      <c r="C650" s="6" t="s">
        <v>1203</v>
      </c>
      <c r="D650" s="7">
        <f>AVERAGE(D587,D599,D1340,D1345)</f>
        <v>16.02700869</v>
      </c>
    </row>
    <row r="651" ht="25.5" customHeight="1">
      <c r="A651" s="4" t="s">
        <v>1204</v>
      </c>
      <c r="B651" s="8"/>
      <c r="C651" s="6" t="s">
        <v>1205</v>
      </c>
      <c r="D651" s="12">
        <f>D2414+(((D632-D2414)/6)*3)</f>
        <v>10.55064204</v>
      </c>
    </row>
    <row r="652" ht="25.5" customHeight="1">
      <c r="A652" s="4" t="s">
        <v>1206</v>
      </c>
      <c r="B652" s="8"/>
      <c r="C652" s="6" t="s">
        <v>1042</v>
      </c>
      <c r="D652" s="12">
        <f>D1383+(((D639-D1383)/8)*3)</f>
        <v>11.1955</v>
      </c>
    </row>
    <row r="653" ht="25.5" customHeight="1">
      <c r="A653" s="4" t="s">
        <v>1207</v>
      </c>
      <c r="B653" s="11"/>
      <c r="C653" s="6" t="s">
        <v>1208</v>
      </c>
      <c r="D653" s="12">
        <f>D1383+(((D639-D1383)/8)*6)</f>
        <v>9.976</v>
      </c>
    </row>
    <row r="654" ht="25.5" customHeight="1">
      <c r="A654" s="4" t="s">
        <v>1209</v>
      </c>
      <c r="B654" s="5" t="s">
        <v>1210</v>
      </c>
      <c r="C654" s="9" t="s">
        <v>1211</v>
      </c>
      <c r="D654" s="7">
        <v>22.21</v>
      </c>
      <c r="E654" s="10" t="s">
        <v>1212</v>
      </c>
    </row>
    <row r="655" ht="25.5" customHeight="1">
      <c r="A655" s="4" t="s">
        <v>1213</v>
      </c>
      <c r="B655" s="8"/>
      <c r="C655" s="6" t="s">
        <v>499</v>
      </c>
      <c r="D655" s="7">
        <f>D2212</f>
        <v>15.14266667</v>
      </c>
    </row>
    <row r="656" ht="25.5" customHeight="1">
      <c r="A656" s="4" t="s">
        <v>1214</v>
      </c>
      <c r="B656" s="8"/>
      <c r="C656" s="6" t="s">
        <v>1215</v>
      </c>
      <c r="D656" s="12">
        <f>D1648+(((D2798-D1648)/11)*6)</f>
        <v>6.974938575</v>
      </c>
    </row>
    <row r="657" ht="25.5" customHeight="1">
      <c r="A657" s="4" t="s">
        <v>1216</v>
      </c>
      <c r="B657" s="8"/>
      <c r="C657" s="6" t="s">
        <v>1217</v>
      </c>
      <c r="D657" s="7">
        <f>AVERAGE(D668,D674,D2797,D3134)</f>
        <v>8.967966017</v>
      </c>
    </row>
    <row r="658" ht="25.5" customHeight="1">
      <c r="A658" s="4" t="s">
        <v>1218</v>
      </c>
      <c r="B658" s="8"/>
      <c r="C658" s="6" t="s">
        <v>1219</v>
      </c>
      <c r="D658" s="7">
        <f>AVERAGE(D693,D681,D2988)</f>
        <v>1.868334835</v>
      </c>
    </row>
    <row r="659" ht="25.5" customHeight="1">
      <c r="A659" s="4" t="s">
        <v>1220</v>
      </c>
      <c r="B659" s="8"/>
      <c r="C659" s="6" t="s">
        <v>1221</v>
      </c>
      <c r="D659" s="12">
        <f>D1648+(((D2798-D1648)/11)*5)</f>
        <v>6.43192629</v>
      </c>
    </row>
    <row r="660" ht="25.5" customHeight="1">
      <c r="A660" s="4" t="s">
        <v>1222</v>
      </c>
      <c r="B660" s="8"/>
      <c r="C660" s="6" t="s">
        <v>1223</v>
      </c>
      <c r="D660" s="7">
        <f>AVERAGE(D673,D687,D669,D692,D659)</f>
        <v>11.40919197</v>
      </c>
    </row>
    <row r="661" ht="25.5" customHeight="1">
      <c r="A661" s="4" t="s">
        <v>1224</v>
      </c>
      <c r="B661" s="8"/>
      <c r="C661" s="6" t="s">
        <v>1225</v>
      </c>
      <c r="D661" s="7">
        <f>AVERAGE(D654,D673,D669,D659)</f>
        <v>14.59246929</v>
      </c>
    </row>
    <row r="662" ht="25.5" customHeight="1">
      <c r="A662" s="4" t="s">
        <v>1226</v>
      </c>
      <c r="B662" s="8"/>
      <c r="C662" s="6" t="s">
        <v>1227</v>
      </c>
      <c r="D662" s="7">
        <f>AVERAGE(D2988,D681,D693)</f>
        <v>1.868334835</v>
      </c>
    </row>
    <row r="663" ht="25.5" customHeight="1">
      <c r="A663" s="4" t="s">
        <v>1228</v>
      </c>
      <c r="B663" s="8"/>
      <c r="C663" s="6" t="s">
        <v>1229</v>
      </c>
      <c r="D663" s="12">
        <f>D1648+(((D2798-D1648)/11)*4)</f>
        <v>5.888914005</v>
      </c>
    </row>
    <row r="664" ht="25.5" customHeight="1">
      <c r="A664" s="4" t="s">
        <v>1230</v>
      </c>
      <c r="B664" s="8"/>
      <c r="C664" s="6" t="s">
        <v>1231</v>
      </c>
      <c r="D664" s="7">
        <f>AVERAGE(D2982,D662)</f>
        <v>1.728250751</v>
      </c>
    </row>
    <row r="665" ht="25.5" customHeight="1">
      <c r="A665" s="4" t="s">
        <v>1232</v>
      </c>
      <c r="B665" s="8"/>
      <c r="C665" s="6" t="s">
        <v>376</v>
      </c>
      <c r="D665" s="7">
        <f>AVERAGE(D659,D679,D670)</f>
        <v>5.526905815</v>
      </c>
    </row>
    <row r="666" ht="25.5" customHeight="1">
      <c r="A666" s="4" t="s">
        <v>1233</v>
      </c>
      <c r="B666" s="8"/>
      <c r="C666" s="6" t="s">
        <v>1234</v>
      </c>
      <c r="D666" s="7">
        <f>AVERAGE(D673,D677)</f>
        <v>18.53698771</v>
      </c>
    </row>
    <row r="667" ht="25.5" customHeight="1">
      <c r="A667" s="4" t="s">
        <v>1235</v>
      </c>
      <c r="B667" s="8"/>
      <c r="C667" s="6" t="s">
        <v>1236</v>
      </c>
      <c r="D667" s="12">
        <f>D2237+(((D654-D2237)/12)*11)</f>
        <v>20.44316667</v>
      </c>
    </row>
    <row r="668" ht="25.5" customHeight="1">
      <c r="A668" s="4" t="s">
        <v>1237</v>
      </c>
      <c r="B668" s="8"/>
      <c r="C668" s="6" t="s">
        <v>1238</v>
      </c>
      <c r="D668" s="7">
        <f>AVERAGE(D663,D659,D656)</f>
        <v>6.43192629</v>
      </c>
    </row>
    <row r="669" ht="25.5" customHeight="1">
      <c r="A669" s="4" t="s">
        <v>1239</v>
      </c>
      <c r="B669" s="8"/>
      <c r="C669" s="6" t="s">
        <v>1240</v>
      </c>
      <c r="D669" s="7">
        <f>D654+(((D689-D654)/6)*5)</f>
        <v>9.966625717</v>
      </c>
    </row>
    <row r="670" ht="25.5" customHeight="1">
      <c r="A670" s="4" t="s">
        <v>1241</v>
      </c>
      <c r="B670" s="8"/>
      <c r="C670" s="6" t="s">
        <v>222</v>
      </c>
      <c r="D670" s="12">
        <f>D1648+(((D2798-D1648)/11)*2)</f>
        <v>4.802889435</v>
      </c>
    </row>
    <row r="671" ht="25.5" customHeight="1">
      <c r="A671" s="4" t="s">
        <v>1242</v>
      </c>
      <c r="B671" s="8"/>
      <c r="C671" s="6" t="s">
        <v>1243</v>
      </c>
      <c r="D671" s="7">
        <f>AVERAGE(D1633,D1632,D693)</f>
        <v>2.402675676</v>
      </c>
    </row>
    <row r="672" ht="25.5" customHeight="1">
      <c r="A672" s="4" t="s">
        <v>1244</v>
      </c>
      <c r="B672" s="8"/>
      <c r="C672" s="6" t="s">
        <v>527</v>
      </c>
      <c r="D672" s="7">
        <f>D673</f>
        <v>19.76132514</v>
      </c>
    </row>
    <row r="673" ht="25.5" customHeight="1">
      <c r="A673" s="4" t="s">
        <v>1245</v>
      </c>
      <c r="B673" s="8"/>
      <c r="C673" s="6" t="s">
        <v>118</v>
      </c>
      <c r="D673" s="7">
        <f>D654+(((D689-D654)/6)*1)</f>
        <v>19.76132514</v>
      </c>
    </row>
    <row r="674" ht="25.5" customHeight="1">
      <c r="A674" s="4" t="s">
        <v>1246</v>
      </c>
      <c r="B674" s="8"/>
      <c r="C674" s="6" t="s">
        <v>126</v>
      </c>
      <c r="D674" s="7">
        <f>AVERAGE(D656,D689)</f>
        <v>7.246444717</v>
      </c>
    </row>
    <row r="675" ht="25.5" customHeight="1">
      <c r="A675" s="4" t="s">
        <v>1247</v>
      </c>
      <c r="B675" s="8"/>
      <c r="C675" s="6" t="s">
        <v>370</v>
      </c>
      <c r="D675" s="7">
        <f>AVERAGE(D1617,D1602,D670,D679)</f>
        <v>4.728511671</v>
      </c>
    </row>
    <row r="676" ht="25.5" customHeight="1">
      <c r="A676" s="4" t="s">
        <v>1248</v>
      </c>
      <c r="B676" s="8"/>
      <c r="C676" s="6" t="s">
        <v>1249</v>
      </c>
      <c r="D676" s="7">
        <f>AVERAGE(D691,D667,D654)</f>
        <v>20.44316667</v>
      </c>
    </row>
    <row r="677" ht="25.5" customHeight="1">
      <c r="A677" s="4" t="s">
        <v>1250</v>
      </c>
      <c r="B677" s="8"/>
      <c r="C677" s="6" t="s">
        <v>1251</v>
      </c>
      <c r="D677" s="7">
        <f>D654+(((D689-D654)/6)*2)</f>
        <v>17.31265029</v>
      </c>
    </row>
    <row r="678" ht="25.5" customHeight="1">
      <c r="A678" s="4" t="s">
        <v>1252</v>
      </c>
      <c r="B678" s="8"/>
      <c r="C678" s="6" t="s">
        <v>1253</v>
      </c>
      <c r="D678" s="7">
        <f>D1633</f>
        <v>2.665513514</v>
      </c>
    </row>
    <row r="679" ht="25.5" customHeight="1">
      <c r="A679" s="4" t="s">
        <v>1254</v>
      </c>
      <c r="B679" s="8"/>
      <c r="C679" s="6" t="s">
        <v>140</v>
      </c>
      <c r="D679" s="12">
        <f>D1648+(((D2798-D1648)/11)*3)</f>
        <v>5.34590172</v>
      </c>
    </row>
    <row r="680" ht="25.5" customHeight="1">
      <c r="A680" s="4" t="s">
        <v>1255</v>
      </c>
      <c r="B680" s="8"/>
      <c r="C680" s="6" t="s">
        <v>1256</v>
      </c>
      <c r="D680" s="7">
        <f>D654+(((D689-D654)/6)*3)</f>
        <v>14.86397543</v>
      </c>
    </row>
    <row r="681" ht="25.5" customHeight="1">
      <c r="A681" s="4" t="s">
        <v>1257</v>
      </c>
      <c r="B681" s="8"/>
      <c r="C681" s="9" t="s">
        <v>1258</v>
      </c>
      <c r="D681" s="7">
        <v>1.877</v>
      </c>
      <c r="E681" s="10" t="s">
        <v>1259</v>
      </c>
    </row>
    <row r="682" ht="25.5" customHeight="1">
      <c r="A682" s="4" t="s">
        <v>1260</v>
      </c>
      <c r="B682" s="8"/>
      <c r="C682" s="6" t="s">
        <v>1261</v>
      </c>
      <c r="D682" s="7">
        <f>D693</f>
        <v>2.139837838</v>
      </c>
    </row>
    <row r="683" ht="25.5" customHeight="1">
      <c r="A683" s="4" t="s">
        <v>1262</v>
      </c>
      <c r="B683" s="8"/>
      <c r="C683" s="6" t="s">
        <v>1263</v>
      </c>
      <c r="D683" s="7">
        <f>AVERAGE(D670,D1602)</f>
        <v>4.531383292</v>
      </c>
    </row>
    <row r="684" ht="25.5" customHeight="1">
      <c r="A684" s="4" t="s">
        <v>1264</v>
      </c>
      <c r="B684" s="8"/>
      <c r="C684" s="6" t="s">
        <v>1265</v>
      </c>
      <c r="D684" s="7">
        <f>AVERAGE(D671,D678)</f>
        <v>2.534094595</v>
      </c>
    </row>
    <row r="685" ht="25.5" customHeight="1">
      <c r="A685" s="4" t="s">
        <v>1266</v>
      </c>
      <c r="B685" s="8"/>
      <c r="C685" s="6" t="s">
        <v>273</v>
      </c>
      <c r="D685" s="7">
        <f>AVERAGE(D677,D680,D687)</f>
        <v>14.86397543</v>
      </c>
    </row>
    <row r="686" ht="25.5" customHeight="1">
      <c r="A686" s="4" t="s">
        <v>1267</v>
      </c>
      <c r="B686" s="8"/>
      <c r="C686" s="6" t="s">
        <v>157</v>
      </c>
      <c r="D686" s="7">
        <f>AVERAGE(D679,D663)</f>
        <v>5.617407862</v>
      </c>
    </row>
    <row r="687" ht="25.5" customHeight="1">
      <c r="A687" s="4" t="s">
        <v>1268</v>
      </c>
      <c r="B687" s="8"/>
      <c r="C687" s="6" t="s">
        <v>1269</v>
      </c>
      <c r="D687" s="7">
        <f>D654+(((D689-D654)/6)*4)</f>
        <v>12.41530057</v>
      </c>
    </row>
    <row r="688" ht="25.5" customHeight="1">
      <c r="A688" s="4" t="s">
        <v>1270</v>
      </c>
      <c r="B688" s="8"/>
      <c r="C688" s="6" t="s">
        <v>1271</v>
      </c>
      <c r="D688" s="7">
        <f>AVERAGE(D2994,D682,D671,D678,D2243)</f>
        <v>4.376638739</v>
      </c>
    </row>
    <row r="689" ht="25.5" customHeight="1">
      <c r="A689" s="4" t="s">
        <v>1272</v>
      </c>
      <c r="B689" s="8"/>
      <c r="C689" s="6" t="s">
        <v>1273</v>
      </c>
      <c r="D689" s="12">
        <f>D1648+(((D2798-D1648)/11)*7)</f>
        <v>7.51795086</v>
      </c>
    </row>
    <row r="690" ht="25.5" customHeight="1">
      <c r="A690" s="4" t="s">
        <v>1274</v>
      </c>
      <c r="B690" s="8"/>
      <c r="C690" s="6" t="s">
        <v>1275</v>
      </c>
      <c r="D690" s="7">
        <f>AVERAGE(D673,D654,D667,D2234,D1972)</f>
        <v>17.91510605</v>
      </c>
    </row>
    <row r="691" ht="25.5" customHeight="1">
      <c r="A691" s="4" t="s">
        <v>1276</v>
      </c>
      <c r="B691" s="8"/>
      <c r="C691" s="6" t="s">
        <v>1277</v>
      </c>
      <c r="D691" s="12">
        <f>D2237+(((D654-D2237)/12)*10)</f>
        <v>18.67633333</v>
      </c>
    </row>
    <row r="692" ht="25.5" customHeight="1">
      <c r="A692" s="4" t="s">
        <v>1278</v>
      </c>
      <c r="B692" s="8"/>
      <c r="C692" s="6" t="s">
        <v>1279</v>
      </c>
      <c r="D692" s="7">
        <f>AVERAGE(D669,D656)</f>
        <v>8.470782146</v>
      </c>
    </row>
    <row r="693" ht="25.5" customHeight="1">
      <c r="A693" s="4" t="s">
        <v>1280</v>
      </c>
      <c r="B693" s="8"/>
      <c r="C693" s="6" t="s">
        <v>1281</v>
      </c>
      <c r="D693" s="7">
        <f>D681+(((D1341-D681)/37)*1)</f>
        <v>2.139837838</v>
      </c>
    </row>
    <row r="694" ht="25.5" customHeight="1">
      <c r="A694" s="4" t="s">
        <v>1282</v>
      </c>
      <c r="B694" s="8"/>
      <c r="C694" s="6" t="s">
        <v>1283</v>
      </c>
      <c r="D694" s="7">
        <f>D663</f>
        <v>5.888914005</v>
      </c>
    </row>
    <row r="695" ht="25.5" customHeight="1">
      <c r="A695" s="4" t="s">
        <v>1284</v>
      </c>
      <c r="B695" s="8"/>
      <c r="C695" s="6" t="s">
        <v>1285</v>
      </c>
      <c r="D695" s="7">
        <f>AVERAGE(D673,D677,D680,D669,D1972)</f>
        <v>14.43122301</v>
      </c>
    </row>
    <row r="696" ht="25.5" customHeight="1">
      <c r="A696" s="4" t="s">
        <v>1286</v>
      </c>
      <c r="B696" s="8"/>
      <c r="C696" s="6" t="s">
        <v>1287</v>
      </c>
      <c r="D696" s="7">
        <f>AVERAGE(D678,D655,D676,D661,D672,D683)</f>
        <v>12.85608743</v>
      </c>
    </row>
    <row r="697" ht="25.5" customHeight="1">
      <c r="A697" s="4" t="s">
        <v>1288</v>
      </c>
      <c r="B697" s="11"/>
      <c r="C697" s="6" t="s">
        <v>197</v>
      </c>
      <c r="D697" s="7">
        <f>AVERAGE(D2212,D2234,D691)</f>
        <v>16.9095</v>
      </c>
    </row>
    <row r="698" ht="25.5" customHeight="1">
      <c r="A698" s="4" t="s">
        <v>1289</v>
      </c>
      <c r="B698" s="5" t="s">
        <v>1290</v>
      </c>
      <c r="C698" s="6" t="s">
        <v>499</v>
      </c>
      <c r="D698" s="12">
        <f>D780</f>
        <v>2.1801</v>
      </c>
    </row>
    <row r="699" ht="25.5" customHeight="1">
      <c r="A699" s="4" t="s">
        <v>1291</v>
      </c>
      <c r="B699" s="8"/>
      <c r="C699" s="6" t="s">
        <v>1292</v>
      </c>
      <c r="D699" s="12">
        <f>D1476+(((D796-D1476)/19)*2)</f>
        <v>0.9179368421</v>
      </c>
    </row>
    <row r="700" ht="25.5" customHeight="1">
      <c r="A700" s="4" t="s">
        <v>1293</v>
      </c>
      <c r="B700" s="8"/>
      <c r="C700" s="6" t="s">
        <v>1294</v>
      </c>
      <c r="D700" s="7">
        <f>AVERAGE(D755,D724)</f>
        <v>1.791742105</v>
      </c>
    </row>
    <row r="701" ht="25.5" customHeight="1">
      <c r="A701" s="4" t="s">
        <v>1295</v>
      </c>
      <c r="B701" s="8"/>
      <c r="C701" s="6" t="s">
        <v>212</v>
      </c>
      <c r="D701" s="7">
        <f>D798+(((D743-D798)/3)*1)</f>
        <v>5.314809524</v>
      </c>
    </row>
    <row r="702" ht="25.5" customHeight="1">
      <c r="A702" s="4" t="s">
        <v>1296</v>
      </c>
      <c r="B702" s="8"/>
      <c r="C702" s="6" t="s">
        <v>1297</v>
      </c>
      <c r="D702" s="7">
        <f>AVERAGE(D766,D772,D698)</f>
        <v>2.1801</v>
      </c>
    </row>
    <row r="703" ht="25.5" customHeight="1">
      <c r="A703" s="4" t="s">
        <v>1298</v>
      </c>
      <c r="B703" s="8"/>
      <c r="C703" s="6" t="s">
        <v>1299</v>
      </c>
      <c r="D703" s="7">
        <f>D606+(((D730-D606)/7)*5)</f>
        <v>13.59921429</v>
      </c>
    </row>
    <row r="704" ht="25.5" customHeight="1">
      <c r="A704" s="4" t="s">
        <v>1300</v>
      </c>
      <c r="B704" s="8"/>
      <c r="C704" s="6" t="s">
        <v>82</v>
      </c>
      <c r="D704" s="7">
        <f>AVERAGE(D772,D1503)</f>
        <v>1.8447</v>
      </c>
    </row>
    <row r="705" ht="25.5" customHeight="1">
      <c r="A705" s="4" t="s">
        <v>1301</v>
      </c>
      <c r="B705" s="8"/>
      <c r="C705" s="6" t="s">
        <v>218</v>
      </c>
      <c r="D705" s="12">
        <f>AVERAGE(D768,D795,D577)</f>
        <v>7.485028571</v>
      </c>
    </row>
    <row r="706" ht="25.5" customHeight="1">
      <c r="A706" s="4" t="s">
        <v>1302</v>
      </c>
      <c r="B706" s="8"/>
      <c r="C706" s="6" t="s">
        <v>1079</v>
      </c>
      <c r="D706" s="7">
        <f>D766</f>
        <v>2.1801</v>
      </c>
    </row>
    <row r="707" ht="25.5" customHeight="1">
      <c r="A707" s="4" t="s">
        <v>1303</v>
      </c>
      <c r="B707" s="8"/>
      <c r="C707" s="6" t="s">
        <v>1304</v>
      </c>
      <c r="D707" s="12">
        <f>D1476+(((D796-D1476)/19)*15)</f>
        <v>2.524326316</v>
      </c>
    </row>
    <row r="708" ht="25.5" customHeight="1">
      <c r="A708" s="4" t="s">
        <v>1305</v>
      </c>
      <c r="B708" s="8"/>
      <c r="C708" s="6" t="s">
        <v>1306</v>
      </c>
      <c r="D708" s="7">
        <f>AVERAGE(D765,D780,D753)</f>
        <v>2.162447368</v>
      </c>
    </row>
    <row r="709" ht="25.5" customHeight="1">
      <c r="A709" s="4" t="s">
        <v>1307</v>
      </c>
      <c r="B709" s="8"/>
      <c r="C709" s="6" t="s">
        <v>222</v>
      </c>
      <c r="D709" s="12">
        <f>D848+(((D715-D848)/6)*5)</f>
        <v>3.239850877</v>
      </c>
    </row>
    <row r="710" ht="25.5" customHeight="1">
      <c r="A710" s="4" t="s">
        <v>1308</v>
      </c>
      <c r="B710" s="8"/>
      <c r="C710" s="6" t="s">
        <v>94</v>
      </c>
      <c r="D710" s="7">
        <f>AVERAGE(D723,D724,D756,D793)</f>
        <v>1.946216316</v>
      </c>
    </row>
    <row r="711" ht="25.5" customHeight="1">
      <c r="A711" s="4" t="s">
        <v>1309</v>
      </c>
      <c r="B711" s="8"/>
      <c r="C711" s="6" t="s">
        <v>1091</v>
      </c>
      <c r="D711" s="7">
        <f>D784+(((D739-D784)/3)*1)</f>
        <v>1.671115789</v>
      </c>
    </row>
    <row r="712" ht="25.5" customHeight="1">
      <c r="A712" s="4" t="s">
        <v>1310</v>
      </c>
      <c r="B712" s="8"/>
      <c r="C712" s="6" t="s">
        <v>1311</v>
      </c>
      <c r="D712" s="12">
        <f>D1476+(((D796-D1476)/19)*13)</f>
        <v>2.277189474</v>
      </c>
    </row>
    <row r="713" ht="25.5" customHeight="1">
      <c r="A713" s="4" t="s">
        <v>1312</v>
      </c>
      <c r="B713" s="8"/>
      <c r="C713" s="6" t="s">
        <v>836</v>
      </c>
      <c r="D713" s="7">
        <f>D720+(((D2510-D720)/20)*1)</f>
        <v>3.1863</v>
      </c>
    </row>
    <row r="714" ht="25.5" customHeight="1">
      <c r="A714" s="4" t="s">
        <v>1313</v>
      </c>
      <c r="B714" s="8"/>
      <c r="C714" s="6" t="s">
        <v>234</v>
      </c>
      <c r="D714" s="7">
        <f>D709</f>
        <v>3.239850877</v>
      </c>
    </row>
    <row r="715" ht="25.5" customHeight="1">
      <c r="A715" s="4" t="s">
        <v>1314</v>
      </c>
      <c r="B715" s="8"/>
      <c r="C715" s="6" t="s">
        <v>1315</v>
      </c>
      <c r="D715" s="12">
        <f>D1476+(((D796-D1476)/19)*12)</f>
        <v>2.153621053</v>
      </c>
    </row>
    <row r="716" ht="25.5" customHeight="1">
      <c r="A716" s="4" t="s">
        <v>1316</v>
      </c>
      <c r="B716" s="8"/>
      <c r="C716" s="6" t="s">
        <v>1317</v>
      </c>
      <c r="D716" s="7">
        <f>AVERAGE(D761,D752,D753,D771)</f>
        <v>2.391931579</v>
      </c>
    </row>
    <row r="717" ht="25.5" customHeight="1">
      <c r="A717" s="4" t="s">
        <v>1318</v>
      </c>
      <c r="B717" s="8"/>
      <c r="C717" s="6" t="s">
        <v>116</v>
      </c>
      <c r="D717" s="7">
        <f>D768+(((D720-D768)/3)*1)</f>
        <v>5.504697143</v>
      </c>
    </row>
    <row r="718" ht="25.5" customHeight="1">
      <c r="A718" s="4" t="s">
        <v>1319</v>
      </c>
      <c r="B718" s="8"/>
      <c r="C718" s="6" t="s">
        <v>1320</v>
      </c>
      <c r="D718" s="7">
        <f>AVERAGE(D791,D727,D781,D732)</f>
        <v>7.490884821</v>
      </c>
    </row>
    <row r="719" ht="25.5" customHeight="1">
      <c r="A719" s="4" t="s">
        <v>1321</v>
      </c>
      <c r="B719" s="8"/>
      <c r="C719" s="6" t="s">
        <v>535</v>
      </c>
      <c r="D719" s="12">
        <f>D1476+(((D796-D1476)/19)*14)</f>
        <v>2.400757895</v>
      </c>
    </row>
    <row r="720" ht="25.5" customHeight="1">
      <c r="A720" s="4" t="s">
        <v>1322</v>
      </c>
      <c r="B720" s="8"/>
      <c r="C720" s="9" t="s">
        <v>1323</v>
      </c>
      <c r="D720" s="7">
        <v>3.354</v>
      </c>
      <c r="E720" s="10" t="s">
        <v>1324</v>
      </c>
    </row>
    <row r="721" ht="25.5" customHeight="1">
      <c r="A721" s="4" t="s">
        <v>1325</v>
      </c>
      <c r="B721" s="8"/>
      <c r="C721" s="6" t="s">
        <v>1326</v>
      </c>
      <c r="D721" s="7">
        <f>AVERAGE(D789,D882,D883,D709,D712,D719)</f>
        <v>3.394311404</v>
      </c>
    </row>
    <row r="722" ht="25.5" customHeight="1">
      <c r="A722" s="4" t="s">
        <v>1327</v>
      </c>
      <c r="B722" s="8"/>
      <c r="C722" s="6" t="s">
        <v>1328</v>
      </c>
      <c r="D722" s="7">
        <f>AVERAGE(D793,D794)</f>
        <v>2.268445263</v>
      </c>
    </row>
    <row r="723" ht="25.5" customHeight="1">
      <c r="A723" s="4" t="s">
        <v>1329</v>
      </c>
      <c r="B723" s="8"/>
      <c r="C723" s="6" t="s">
        <v>862</v>
      </c>
      <c r="D723" s="12">
        <f>D1476+(((D796-D1476)/19)*11)</f>
        <v>2.030052632</v>
      </c>
    </row>
    <row r="724" ht="25.5" customHeight="1">
      <c r="A724" s="4" t="s">
        <v>1330</v>
      </c>
      <c r="B724" s="8"/>
      <c r="C724" s="6" t="s">
        <v>124</v>
      </c>
      <c r="D724" s="12">
        <f>D1476+(((D796-D1476)/19)*10)</f>
        <v>1.906484211</v>
      </c>
    </row>
    <row r="725" ht="25.5" customHeight="1">
      <c r="A725" s="4" t="s">
        <v>1331</v>
      </c>
      <c r="B725" s="8"/>
      <c r="C725" s="6" t="s">
        <v>1332</v>
      </c>
      <c r="D725" s="12">
        <f>D1476+(((D796-D1476)/19)*16)</f>
        <v>2.647894737</v>
      </c>
    </row>
    <row r="726" ht="25.5" customHeight="1">
      <c r="A726" s="4" t="s">
        <v>1333</v>
      </c>
      <c r="B726" s="8"/>
      <c r="C726" s="6" t="s">
        <v>126</v>
      </c>
      <c r="D726" s="12">
        <f>D1476+(((D796-D1476)/19)*7)</f>
        <v>1.535778947</v>
      </c>
    </row>
    <row r="727" ht="25.5" customHeight="1">
      <c r="A727" s="4" t="s">
        <v>1334</v>
      </c>
      <c r="B727" s="8"/>
      <c r="C727" s="6" t="s">
        <v>248</v>
      </c>
      <c r="D727" s="7">
        <f>AVERAGE(D746,D769,D787)</f>
        <v>10.74443571</v>
      </c>
    </row>
    <row r="728" ht="25.5" customHeight="1">
      <c r="A728" s="4" t="s">
        <v>1335</v>
      </c>
      <c r="B728" s="8"/>
      <c r="C728" s="6" t="s">
        <v>1336</v>
      </c>
      <c r="D728" s="7">
        <f>AVERAGE(D794,D864)</f>
        <v>2.674510526</v>
      </c>
    </row>
    <row r="729" ht="25.5" customHeight="1">
      <c r="A729" s="4" t="s">
        <v>1337</v>
      </c>
      <c r="B729" s="8"/>
      <c r="C729" s="6" t="s">
        <v>130</v>
      </c>
      <c r="D729" s="7">
        <f>AVERAGE(D772,D782,D766,D754)</f>
        <v>2.09625</v>
      </c>
    </row>
    <row r="730" ht="25.5" customHeight="1">
      <c r="A730" s="4" t="s">
        <v>1338</v>
      </c>
      <c r="B730" s="8"/>
      <c r="C730" s="6" t="s">
        <v>1113</v>
      </c>
      <c r="D730" s="7">
        <f>D720+(((D2510-D720)/20)*3)</f>
        <v>2.8509</v>
      </c>
    </row>
    <row r="731" ht="25.5" customHeight="1">
      <c r="A731" s="4" t="s">
        <v>1339</v>
      </c>
      <c r="B731" s="8"/>
      <c r="C731" s="6" t="s">
        <v>689</v>
      </c>
      <c r="D731" s="7">
        <f>AVERAGE(D726,D739,D793,D794)</f>
        <v>1.933004211</v>
      </c>
    </row>
    <row r="732" ht="25.5" customHeight="1">
      <c r="A732" s="4" t="s">
        <v>1340</v>
      </c>
      <c r="B732" s="8"/>
      <c r="C732" s="6" t="s">
        <v>896</v>
      </c>
      <c r="D732" s="7">
        <f>D698</f>
        <v>2.1801</v>
      </c>
    </row>
    <row r="733" ht="25.5" customHeight="1">
      <c r="A733" s="4" t="s">
        <v>1341</v>
      </c>
      <c r="B733" s="8"/>
      <c r="C733" s="6" t="s">
        <v>1119</v>
      </c>
      <c r="D733" s="7">
        <f>D1066</f>
        <v>12.98257895</v>
      </c>
    </row>
    <row r="734" ht="25.5" customHeight="1">
      <c r="A734" s="4" t="s">
        <v>1342</v>
      </c>
      <c r="B734" s="8"/>
      <c r="C734" s="6" t="s">
        <v>1343</v>
      </c>
      <c r="D734" s="7">
        <f>AVERAGE(D763,D791,D732)</f>
        <v>12.14409048</v>
      </c>
    </row>
    <row r="735" ht="25.5" customHeight="1">
      <c r="A735" s="4" t="s">
        <v>1344</v>
      </c>
      <c r="B735" s="8"/>
      <c r="C735" s="6" t="s">
        <v>134</v>
      </c>
      <c r="D735" s="7">
        <f>D606+(((D730-D606)/7)*4)</f>
        <v>18.97337143</v>
      </c>
    </row>
    <row r="736" ht="25.5" customHeight="1">
      <c r="A736" s="4" t="s">
        <v>1345</v>
      </c>
      <c r="B736" s="8"/>
      <c r="C736" s="6" t="s">
        <v>1346</v>
      </c>
      <c r="D736" s="12">
        <f>D1476+(((D796-D1476)/19)*17)</f>
        <v>2.771463158</v>
      </c>
    </row>
    <row r="737" ht="25.5" customHeight="1">
      <c r="A737" s="4" t="s">
        <v>1347</v>
      </c>
      <c r="B737" s="8"/>
      <c r="C737" s="6" t="s">
        <v>138</v>
      </c>
      <c r="D737" s="7">
        <f>AVERAGE(D726,D797,D788,D1483)</f>
        <v>1.321740789</v>
      </c>
    </row>
    <row r="738" ht="25.5" customHeight="1">
      <c r="A738" s="4" t="s">
        <v>1348</v>
      </c>
      <c r="B738" s="8"/>
      <c r="C738" s="6" t="s">
        <v>912</v>
      </c>
      <c r="D738" s="7">
        <f>AVERAGE(D715,D723)</f>
        <v>2.091836842</v>
      </c>
    </row>
    <row r="739" ht="25.5" customHeight="1">
      <c r="A739" s="4" t="s">
        <v>1349</v>
      </c>
      <c r="B739" s="8"/>
      <c r="C739" s="6" t="s">
        <v>140</v>
      </c>
      <c r="D739" s="12">
        <f>D1476+(((D796-D1476)/19)*8)</f>
        <v>1.659347368</v>
      </c>
    </row>
    <row r="740" ht="25.5" customHeight="1">
      <c r="A740" s="4" t="s">
        <v>1350</v>
      </c>
      <c r="B740" s="8"/>
      <c r="C740" s="6" t="s">
        <v>1351</v>
      </c>
      <c r="D740" s="7">
        <f>AVERAGE(D754,D755,D1503)</f>
        <v>1.677</v>
      </c>
    </row>
    <row r="741" ht="25.5" customHeight="1">
      <c r="A741" s="4" t="s">
        <v>1352</v>
      </c>
      <c r="B741" s="8"/>
      <c r="C741" s="6" t="s">
        <v>1353</v>
      </c>
      <c r="D741" s="7">
        <f>AVERAGE(D786,D705,D603)</f>
        <v>4.55127381</v>
      </c>
    </row>
    <row r="742" ht="25.5" customHeight="1">
      <c r="A742" s="4" t="s">
        <v>1354</v>
      </c>
      <c r="B742" s="8"/>
      <c r="C742" s="6" t="s">
        <v>267</v>
      </c>
      <c r="D742" s="12">
        <f>D1476+(((D796-D1476)/19)*5)</f>
        <v>1.288642105</v>
      </c>
    </row>
    <row r="743" ht="25.5" customHeight="1">
      <c r="A743" s="4" t="s">
        <v>1355</v>
      </c>
      <c r="B743" s="8"/>
      <c r="C743" s="6" t="s">
        <v>1356</v>
      </c>
      <c r="D743" s="7">
        <f>D768+(((D720-D768)/3)*2)</f>
        <v>4.429348571</v>
      </c>
    </row>
    <row r="744" ht="25.5" customHeight="1">
      <c r="A744" s="4" t="s">
        <v>1357</v>
      </c>
      <c r="B744" s="8"/>
      <c r="C744" s="6" t="s">
        <v>1358</v>
      </c>
      <c r="D744" s="12">
        <f>D1476+(((D796-D1476)/19)*18)</f>
        <v>2.895031579</v>
      </c>
    </row>
    <row r="745" ht="25.5" customHeight="1">
      <c r="A745" s="4" t="s">
        <v>1359</v>
      </c>
      <c r="B745" s="8"/>
      <c r="C745" s="6" t="s">
        <v>1360</v>
      </c>
      <c r="D745" s="7">
        <f>AVERAGE(D743,D717,D747,D730,D796)</f>
        <v>4.805720571</v>
      </c>
    </row>
    <row r="746" ht="25.5" customHeight="1">
      <c r="A746" s="4" t="s">
        <v>1361</v>
      </c>
      <c r="B746" s="8"/>
      <c r="C746" s="6" t="s">
        <v>1362</v>
      </c>
      <c r="D746" s="7">
        <f>D735+(((D761-D735)/4)*1)</f>
        <v>14.85890357</v>
      </c>
    </row>
    <row r="747" ht="25.5" customHeight="1">
      <c r="A747" s="4" t="s">
        <v>1363</v>
      </c>
      <c r="B747" s="8"/>
      <c r="C747" s="6" t="s">
        <v>1364</v>
      </c>
      <c r="D747" s="7">
        <f>D606+(((D730-D606)/7)*6)</f>
        <v>8.225057143</v>
      </c>
    </row>
    <row r="748" ht="25.5" customHeight="1">
      <c r="A748" s="4" t="s">
        <v>1365</v>
      </c>
      <c r="B748" s="8"/>
      <c r="C748" s="6" t="s">
        <v>402</v>
      </c>
      <c r="D748" s="7">
        <f>D713</f>
        <v>3.1863</v>
      </c>
    </row>
    <row r="749" ht="25.5" customHeight="1">
      <c r="A749" s="4" t="s">
        <v>1366</v>
      </c>
      <c r="B749" s="8"/>
      <c r="C749" s="6" t="s">
        <v>147</v>
      </c>
      <c r="D749" s="7">
        <f>AVERAGE(D714,D777)</f>
        <v>2.652631754</v>
      </c>
    </row>
    <row r="750" ht="25.5" customHeight="1">
      <c r="A750" s="4" t="s">
        <v>1367</v>
      </c>
      <c r="B750" s="8"/>
      <c r="C750" s="6" t="s">
        <v>149</v>
      </c>
      <c r="D750" s="12">
        <f>D3032+(((D747-D3032)/10)*9)</f>
        <v>7.402551429</v>
      </c>
    </row>
    <row r="751" ht="25.5" customHeight="1">
      <c r="A751" s="4" t="s">
        <v>1368</v>
      </c>
      <c r="B751" s="8"/>
      <c r="C751" s="6" t="s">
        <v>1369</v>
      </c>
      <c r="D751" s="7">
        <f>D720+(((D2510-D720)/20)*4)</f>
        <v>2.6832</v>
      </c>
    </row>
    <row r="752" ht="25.5" customHeight="1">
      <c r="A752" s="4" t="s">
        <v>1370</v>
      </c>
      <c r="B752" s="8"/>
      <c r="C752" s="6" t="s">
        <v>277</v>
      </c>
      <c r="D752" s="7">
        <f>D720+(((D2510-D720)/20)*6)</f>
        <v>2.3478</v>
      </c>
    </row>
    <row r="753" ht="25.5" customHeight="1">
      <c r="A753" s="4" t="s">
        <v>1371</v>
      </c>
      <c r="B753" s="8"/>
      <c r="C753" s="6" t="s">
        <v>155</v>
      </c>
      <c r="D753" s="7">
        <f>D780+(((D707-D780)/3)*1)</f>
        <v>2.294842105</v>
      </c>
    </row>
    <row r="754" ht="25.5" customHeight="1">
      <c r="A754" s="4" t="s">
        <v>1372</v>
      </c>
      <c r="B754" s="8"/>
      <c r="C754" s="6" t="s">
        <v>1373</v>
      </c>
      <c r="D754" s="7">
        <f>D720+(((D2510-D720)/20)*9)</f>
        <v>1.8447</v>
      </c>
    </row>
    <row r="755" ht="25.5" customHeight="1">
      <c r="A755" s="4" t="s">
        <v>1374</v>
      </c>
      <c r="B755" s="8"/>
      <c r="C755" s="6" t="s">
        <v>157</v>
      </c>
      <c r="D755" s="7">
        <f>D720+(((D2510-D720)/20)*10)</f>
        <v>1.677</v>
      </c>
    </row>
    <row r="756" ht="25.5" customHeight="1">
      <c r="A756" s="4" t="s">
        <v>1375</v>
      </c>
      <c r="B756" s="8"/>
      <c r="C756" s="6" t="s">
        <v>161</v>
      </c>
      <c r="D756" s="12">
        <f>D1476+(((D796-D1476)/19)*9)</f>
        <v>1.782915789</v>
      </c>
    </row>
    <row r="757" ht="25.5" customHeight="1">
      <c r="A757" s="4" t="s">
        <v>1376</v>
      </c>
      <c r="B757" s="8"/>
      <c r="C757" s="6" t="s">
        <v>163</v>
      </c>
      <c r="D757" s="7">
        <f>AVERAGE(D769,D799,D747,D775,D703)</f>
        <v>10.30764</v>
      </c>
    </row>
    <row r="758" ht="25.5" customHeight="1">
      <c r="A758" s="4" t="s">
        <v>1377</v>
      </c>
      <c r="B758" s="8"/>
      <c r="C758" s="6" t="s">
        <v>1378</v>
      </c>
      <c r="D758" s="7">
        <f>AVERAGE(D787,D752)</f>
        <v>4.488883929</v>
      </c>
    </row>
    <row r="759" ht="25.5" customHeight="1">
      <c r="A759" s="4" t="s">
        <v>1379</v>
      </c>
      <c r="B759" s="8"/>
      <c r="C759" s="6" t="s">
        <v>1380</v>
      </c>
      <c r="D759" s="7">
        <f>D742+(((D2442-D742)/9)*1)</f>
        <v>4.212126316</v>
      </c>
    </row>
    <row r="760" ht="25.5" customHeight="1">
      <c r="A760" s="4" t="s">
        <v>1381</v>
      </c>
      <c r="B760" s="8"/>
      <c r="C760" s="6" t="s">
        <v>1382</v>
      </c>
      <c r="D760" s="7">
        <f>D798+(((D743-D798)/3)*2)</f>
        <v>4.872079048</v>
      </c>
    </row>
    <row r="761" ht="25.5" customHeight="1">
      <c r="A761" s="4" t="s">
        <v>1383</v>
      </c>
      <c r="B761" s="8"/>
      <c r="C761" s="6" t="s">
        <v>1384</v>
      </c>
      <c r="D761" s="7">
        <f>D720+(((D2510-D720)/20)*5)</f>
        <v>2.5155</v>
      </c>
    </row>
    <row r="762" ht="25.5" customHeight="1">
      <c r="A762" s="4" t="s">
        <v>1385</v>
      </c>
      <c r="B762" s="8"/>
      <c r="C762" s="6" t="s">
        <v>1386</v>
      </c>
      <c r="D762" s="7">
        <f>AVERAGE(D752,D780)</f>
        <v>2.26395</v>
      </c>
    </row>
    <row r="763" ht="25.5" customHeight="1">
      <c r="A763" s="4" t="s">
        <v>1387</v>
      </c>
      <c r="B763" s="8"/>
      <c r="C763" s="6" t="s">
        <v>1388</v>
      </c>
      <c r="D763" s="12">
        <f>AVERAGE(D778,D735,D746)</f>
        <v>19.39326786</v>
      </c>
    </row>
    <row r="764" ht="25.5" customHeight="1">
      <c r="A764" s="4" t="s">
        <v>1389</v>
      </c>
      <c r="B764" s="8"/>
      <c r="C764" s="6" t="s">
        <v>167</v>
      </c>
      <c r="D764" s="12">
        <f>AVERAGE(D1454,D1507,D784)</f>
        <v>1.6211</v>
      </c>
    </row>
    <row r="765" ht="25.5" customHeight="1">
      <c r="A765" s="4" t="s">
        <v>1390</v>
      </c>
      <c r="B765" s="8"/>
      <c r="C765" s="6" t="s">
        <v>169</v>
      </c>
      <c r="D765" s="7">
        <f>D720+(((D2510-D720)/20)*8)</f>
        <v>2.0124</v>
      </c>
    </row>
    <row r="766" ht="25.5" customHeight="1">
      <c r="A766" s="4" t="s">
        <v>1391</v>
      </c>
      <c r="B766" s="8"/>
      <c r="C766" s="6" t="s">
        <v>171</v>
      </c>
      <c r="D766" s="12">
        <f>D780</f>
        <v>2.1801</v>
      </c>
    </row>
    <row r="767" ht="25.5" customHeight="1">
      <c r="A767" s="4" t="s">
        <v>1392</v>
      </c>
      <c r="B767" s="8"/>
      <c r="C767" s="6" t="s">
        <v>1393</v>
      </c>
      <c r="D767" s="12">
        <f>AVERAGE(D753,D771,D719,D712)</f>
        <v>2.345593421</v>
      </c>
    </row>
    <row r="768" ht="25.5" customHeight="1">
      <c r="A768" s="4" t="s">
        <v>1394</v>
      </c>
      <c r="B768" s="8"/>
      <c r="C768" s="6" t="s">
        <v>1395</v>
      </c>
      <c r="D768" s="12">
        <f>D3032+(((D747-D3032)/10)*8)</f>
        <v>6.580045714</v>
      </c>
    </row>
    <row r="769" ht="25.5" customHeight="1">
      <c r="A769" s="4" t="s">
        <v>1396</v>
      </c>
      <c r="B769" s="8"/>
      <c r="C769" s="6" t="s">
        <v>1397</v>
      </c>
      <c r="D769" s="7">
        <f>D735+(((D761-D735)/4)*2)</f>
        <v>10.74443571</v>
      </c>
    </row>
    <row r="770" ht="25.5" customHeight="1">
      <c r="A770" s="4" t="s">
        <v>1398</v>
      </c>
      <c r="B770" s="8"/>
      <c r="C770" s="6" t="s">
        <v>173</v>
      </c>
      <c r="D770" s="12">
        <f>AVERAGE(D792,D739,D726)</f>
        <v>1.620119298</v>
      </c>
    </row>
    <row r="771" ht="25.5" customHeight="1">
      <c r="A771" s="4" t="s">
        <v>1399</v>
      </c>
      <c r="B771" s="8"/>
      <c r="C771" s="6" t="s">
        <v>1400</v>
      </c>
      <c r="D771" s="7">
        <f>D780+(((D707-D780)/3)*2)</f>
        <v>2.409584211</v>
      </c>
    </row>
    <row r="772" ht="25.5" customHeight="1">
      <c r="A772" s="4" t="s">
        <v>1401</v>
      </c>
      <c r="B772" s="8"/>
      <c r="C772" s="6" t="s">
        <v>177</v>
      </c>
      <c r="D772" s="12">
        <f>D780</f>
        <v>2.1801</v>
      </c>
    </row>
    <row r="773" ht="25.5" customHeight="1">
      <c r="A773" s="4" t="s">
        <v>1402</v>
      </c>
      <c r="B773" s="8"/>
      <c r="C773" s="6" t="s">
        <v>303</v>
      </c>
      <c r="D773" s="12">
        <f>AVERAGE(D742,D759,D1066)</f>
        <v>6.161115789</v>
      </c>
    </row>
    <row r="774" ht="25.5" customHeight="1">
      <c r="A774" s="4" t="s">
        <v>1403</v>
      </c>
      <c r="B774" s="8"/>
      <c r="C774" s="6" t="s">
        <v>307</v>
      </c>
      <c r="D774" s="12">
        <f>D1476+(((D796-D1476)/19)*3)</f>
        <v>1.041505263</v>
      </c>
    </row>
    <row r="775" ht="25.5" customHeight="1">
      <c r="A775" s="4" t="s">
        <v>1404</v>
      </c>
      <c r="B775" s="8"/>
      <c r="C775" s="6" t="s">
        <v>745</v>
      </c>
      <c r="D775" s="12">
        <f>D703</f>
        <v>13.59921429</v>
      </c>
    </row>
    <row r="776" ht="25.5" customHeight="1">
      <c r="A776" s="4" t="s">
        <v>1405</v>
      </c>
      <c r="B776" s="8"/>
      <c r="C776" s="6" t="s">
        <v>179</v>
      </c>
      <c r="D776" s="12">
        <f>AVERAGE(D784,D792,D1496,D1483)</f>
        <v>1.464432895</v>
      </c>
    </row>
    <row r="777" ht="25.5" customHeight="1">
      <c r="A777" s="4" t="s">
        <v>1406</v>
      </c>
      <c r="B777" s="8"/>
      <c r="C777" s="6" t="s">
        <v>1407</v>
      </c>
      <c r="D777" s="12">
        <f>D793</f>
        <v>2.065412632</v>
      </c>
    </row>
    <row r="778" ht="25.5" customHeight="1">
      <c r="A778" s="4" t="s">
        <v>1408</v>
      </c>
      <c r="B778" s="8"/>
      <c r="C778" s="6" t="s">
        <v>1409</v>
      </c>
      <c r="D778" s="7">
        <f>D606+(((D730-D606)/7)*3)</f>
        <v>24.34752857</v>
      </c>
    </row>
    <row r="779" ht="25.5" customHeight="1">
      <c r="A779" s="4" t="s">
        <v>1410</v>
      </c>
      <c r="B779" s="8"/>
      <c r="C779" s="6" t="s">
        <v>310</v>
      </c>
      <c r="D779" s="12">
        <f>AVERAGE(D726,D797)</f>
        <v>1.473994737</v>
      </c>
    </row>
    <row r="780" ht="25.5" customHeight="1">
      <c r="A780" s="4" t="s">
        <v>1411</v>
      </c>
      <c r="B780" s="8"/>
      <c r="C780" s="6" t="s">
        <v>1412</v>
      </c>
      <c r="D780" s="7">
        <f>D720+(((D2510-D720)/20)*7)</f>
        <v>2.1801</v>
      </c>
    </row>
    <row r="781" ht="25.5" customHeight="1">
      <c r="A781" s="4" t="s">
        <v>1413</v>
      </c>
      <c r="B781" s="8"/>
      <c r="C781" s="6" t="s">
        <v>1414</v>
      </c>
      <c r="D781" s="12">
        <f>D698</f>
        <v>2.1801</v>
      </c>
    </row>
    <row r="782" ht="25.5" customHeight="1">
      <c r="A782" s="4" t="s">
        <v>1415</v>
      </c>
      <c r="B782" s="8"/>
      <c r="C782" s="6" t="s">
        <v>312</v>
      </c>
      <c r="D782" s="12">
        <f>D780</f>
        <v>2.1801</v>
      </c>
    </row>
    <row r="783" ht="25.5" customHeight="1">
      <c r="A783" s="4" t="s">
        <v>1416</v>
      </c>
      <c r="B783" s="8"/>
      <c r="C783" s="6" t="s">
        <v>183</v>
      </c>
      <c r="D783" s="12">
        <f>AVERAGE(D712,D715,D723,D724,D765,D753)</f>
        <v>2.112431579</v>
      </c>
    </row>
    <row r="784" ht="25.5" customHeight="1">
      <c r="A784" s="4" t="s">
        <v>1417</v>
      </c>
      <c r="B784" s="8"/>
      <c r="C784" s="6" t="s">
        <v>185</v>
      </c>
      <c r="D784" s="7">
        <f>D720+(((D2510-D720)/20)*10)</f>
        <v>1.677</v>
      </c>
    </row>
    <row r="785" ht="25.5" customHeight="1">
      <c r="A785" s="4" t="s">
        <v>1418</v>
      </c>
      <c r="B785" s="8"/>
      <c r="C785" s="6" t="s">
        <v>1419</v>
      </c>
      <c r="D785" s="12">
        <f>AVERAGE(D703,D735,D746,D769)</f>
        <v>14.54398125</v>
      </c>
    </row>
    <row r="786" ht="25.5" customHeight="1">
      <c r="A786" s="4" t="s">
        <v>1420</v>
      </c>
      <c r="B786" s="8"/>
      <c r="C786" s="6" t="s">
        <v>1421</v>
      </c>
      <c r="D786" s="12">
        <f>AVERAGE(D798,D768)</f>
        <v>6.168792857</v>
      </c>
    </row>
    <row r="787" ht="25.5" customHeight="1">
      <c r="A787" s="4" t="s">
        <v>1422</v>
      </c>
      <c r="B787" s="8"/>
      <c r="C787" s="6" t="s">
        <v>1423</v>
      </c>
      <c r="D787" s="7">
        <f>D735+(((D761-D735)/4)*3)</f>
        <v>6.629967857</v>
      </c>
    </row>
    <row r="788" ht="25.5" customHeight="1">
      <c r="A788" s="4" t="s">
        <v>1424</v>
      </c>
      <c r="B788" s="8"/>
      <c r="C788" s="6" t="s">
        <v>326</v>
      </c>
      <c r="D788" s="12">
        <f>D1476+(((D796-D1476)/19)*4)</f>
        <v>1.165073684</v>
      </c>
    </row>
    <row r="789" ht="25.5" customHeight="1">
      <c r="A789" s="4" t="s">
        <v>1425</v>
      </c>
      <c r="B789" s="8"/>
      <c r="C789" s="6" t="s">
        <v>1426</v>
      </c>
      <c r="D789" s="12">
        <f>D707+(((D848-D707)/6)*1)</f>
        <v>3.54877193</v>
      </c>
    </row>
    <row r="790" ht="25.5" customHeight="1">
      <c r="A790" s="4" t="s">
        <v>1427</v>
      </c>
      <c r="B790" s="8"/>
      <c r="C790" s="6" t="s">
        <v>1428</v>
      </c>
      <c r="D790" s="12">
        <f>AVERAGE(D722,D825)</f>
        <v>2.776026842</v>
      </c>
    </row>
    <row r="791" ht="25.5" customHeight="1">
      <c r="A791" s="4" t="s">
        <v>1429</v>
      </c>
      <c r="B791" s="8"/>
      <c r="C791" s="6" t="s">
        <v>1025</v>
      </c>
      <c r="D791" s="12">
        <f>D746</f>
        <v>14.85890357</v>
      </c>
    </row>
    <row r="792" ht="25.5" customHeight="1">
      <c r="A792" s="4" t="s">
        <v>1430</v>
      </c>
      <c r="B792" s="8"/>
      <c r="C792" s="6" t="s">
        <v>197</v>
      </c>
      <c r="D792" s="7">
        <f>D784+(((D739-D784)/3)*2)</f>
        <v>1.665231579</v>
      </c>
    </row>
    <row r="793" ht="25.5" customHeight="1">
      <c r="A793" s="4" t="s">
        <v>1431</v>
      </c>
      <c r="B793" s="8"/>
      <c r="C793" s="6" t="s">
        <v>1028</v>
      </c>
      <c r="D793" s="12">
        <f>D739+(((D821-D739)/10)*1)</f>
        <v>2.065412632</v>
      </c>
    </row>
    <row r="794" ht="25.5" customHeight="1">
      <c r="A794" s="4" t="s">
        <v>1432</v>
      </c>
      <c r="B794" s="8"/>
      <c r="C794" s="6" t="s">
        <v>331</v>
      </c>
      <c r="D794" s="12">
        <f>D739+(((D821-D739)/10)*2)</f>
        <v>2.471477895</v>
      </c>
    </row>
    <row r="795" ht="25.5" customHeight="1">
      <c r="A795" s="4" t="s">
        <v>1433</v>
      </c>
      <c r="B795" s="8"/>
      <c r="C795" s="6" t="s">
        <v>1434</v>
      </c>
      <c r="D795" s="12">
        <f>AVERAGE(D750,D778)</f>
        <v>15.87504</v>
      </c>
    </row>
    <row r="796" ht="25.5" customHeight="1">
      <c r="A796" s="4" t="s">
        <v>1435</v>
      </c>
      <c r="B796" s="8"/>
      <c r="C796" s="6" t="s">
        <v>1436</v>
      </c>
      <c r="D796" s="7">
        <f>D720+(((D2510-D720)/20)*2)</f>
        <v>3.0186</v>
      </c>
    </row>
    <row r="797" ht="25.5" customHeight="1">
      <c r="A797" s="4" t="s">
        <v>1437</v>
      </c>
      <c r="B797" s="8"/>
      <c r="C797" s="6" t="s">
        <v>1438</v>
      </c>
      <c r="D797" s="12">
        <f>D1476+(((D796-D1476)/19)*6)</f>
        <v>1.412210526</v>
      </c>
    </row>
    <row r="798" ht="25.5" customHeight="1">
      <c r="A798" s="4" t="s">
        <v>1439</v>
      </c>
      <c r="B798" s="8"/>
      <c r="C798" s="6" t="s">
        <v>1201</v>
      </c>
      <c r="D798" s="12">
        <f>D3032+(((D747-D3032)/10)*7)</f>
        <v>5.75754</v>
      </c>
    </row>
    <row r="799" ht="25.5" customHeight="1">
      <c r="A799" s="4" t="s">
        <v>1440</v>
      </c>
      <c r="B799" s="11"/>
      <c r="C799" s="6" t="s">
        <v>1441</v>
      </c>
      <c r="D799" s="12">
        <f>AVERAGE(D747,D761)</f>
        <v>5.370278571</v>
      </c>
    </row>
    <row r="800" ht="25.5" customHeight="1">
      <c r="A800" s="4" t="s">
        <v>1442</v>
      </c>
      <c r="B800" s="5" t="s">
        <v>1443</v>
      </c>
      <c r="C800" s="6" t="s">
        <v>499</v>
      </c>
      <c r="D800" s="12">
        <f>AVERAGE(D801,D889)</f>
        <v>8.014</v>
      </c>
    </row>
    <row r="801" ht="25.5" customHeight="1">
      <c r="A801" s="4" t="s">
        <v>1444</v>
      </c>
      <c r="B801" s="8"/>
      <c r="C801" s="6" t="s">
        <v>1445</v>
      </c>
      <c r="D801" s="12">
        <f>D1272+(((D828-D1272)/11)*5)</f>
        <v>7.954272727</v>
      </c>
    </row>
    <row r="802" ht="25.5" customHeight="1">
      <c r="A802" s="4" t="s">
        <v>1446</v>
      </c>
      <c r="B802" s="8"/>
      <c r="C802" s="6" t="s">
        <v>1447</v>
      </c>
      <c r="D802" s="12">
        <f>D848+(((D809-D848)/5)*2)</f>
        <v>9.7786</v>
      </c>
    </row>
    <row r="803" ht="25.5" customHeight="1">
      <c r="A803" s="4" t="s">
        <v>1448</v>
      </c>
      <c r="B803" s="8"/>
      <c r="C803" s="6" t="s">
        <v>210</v>
      </c>
      <c r="D803" s="12">
        <f>AVERAGE(D836,D890,D878,D736)</f>
        <v>4.845530075</v>
      </c>
    </row>
    <row r="804" ht="25.5" customHeight="1">
      <c r="A804" s="4" t="s">
        <v>1449</v>
      </c>
      <c r="B804" s="8"/>
      <c r="C804" s="6" t="s">
        <v>1450</v>
      </c>
      <c r="D804" s="12">
        <f>AVERAGE(D889,D826,D817)</f>
        <v>8.272818182</v>
      </c>
    </row>
    <row r="805" ht="25.5" customHeight="1">
      <c r="A805" s="4" t="s">
        <v>1451</v>
      </c>
      <c r="B805" s="8"/>
      <c r="C805" s="6" t="s">
        <v>212</v>
      </c>
      <c r="D805" s="12">
        <f>D713+(((D848-D713)/7)*6)</f>
        <v>7.887471429</v>
      </c>
    </row>
    <row r="806" ht="25.5" customHeight="1">
      <c r="A806" s="4" t="s">
        <v>1452</v>
      </c>
      <c r="B806" s="8"/>
      <c r="C806" s="6" t="s">
        <v>1297</v>
      </c>
      <c r="D806" s="12">
        <f>AVERAGE(D852,D854,D840,D802,D835)</f>
        <v>8.608114035</v>
      </c>
    </row>
    <row r="807" ht="25.5" customHeight="1">
      <c r="A807" s="4" t="s">
        <v>1453</v>
      </c>
      <c r="B807" s="8"/>
      <c r="C807" s="6" t="s">
        <v>218</v>
      </c>
      <c r="D807" s="12">
        <f>AVERAGE(D890,D878,D811)</f>
        <v>6.320414286</v>
      </c>
    </row>
    <row r="808" ht="25.5" customHeight="1">
      <c r="A808" s="4" t="s">
        <v>1454</v>
      </c>
      <c r="B808" s="8"/>
      <c r="C808" s="6" t="s">
        <v>1079</v>
      </c>
      <c r="D808" s="12">
        <f>D890</f>
        <v>5.536885714</v>
      </c>
    </row>
    <row r="809" ht="25.5" customHeight="1">
      <c r="A809" s="4" t="s">
        <v>1455</v>
      </c>
      <c r="B809" s="8"/>
      <c r="C809" s="9" t="s">
        <v>222</v>
      </c>
      <c r="D809" s="12">
        <v>11.44</v>
      </c>
      <c r="E809" s="10" t="s">
        <v>1456</v>
      </c>
    </row>
    <row r="810" ht="25.5" customHeight="1">
      <c r="A810" s="4" t="s">
        <v>1457</v>
      </c>
      <c r="B810" s="8"/>
      <c r="C810" s="6" t="s">
        <v>94</v>
      </c>
      <c r="D810" s="12">
        <f>D848+(((D715-D848)/6)*3)</f>
        <v>5.412310526</v>
      </c>
    </row>
    <row r="811" ht="25.5" customHeight="1">
      <c r="A811" s="4" t="s">
        <v>1458</v>
      </c>
      <c r="B811" s="8"/>
      <c r="C811" s="6" t="s">
        <v>1091</v>
      </c>
      <c r="D811" s="12">
        <f>D713+(((D848-D713)/7)*5)</f>
        <v>7.103942857</v>
      </c>
    </row>
    <row r="812" ht="25.5" customHeight="1">
      <c r="A812" s="4" t="s">
        <v>1459</v>
      </c>
      <c r="B812" s="8"/>
      <c r="C812" s="6" t="s">
        <v>234</v>
      </c>
      <c r="D812" s="12">
        <f>D739+(((D821-D739)/10)*8)</f>
        <v>4.907869474</v>
      </c>
    </row>
    <row r="813" ht="25.5" customHeight="1">
      <c r="A813" s="4" t="s">
        <v>1460</v>
      </c>
      <c r="B813" s="8"/>
      <c r="C813" s="6" t="s">
        <v>1461</v>
      </c>
      <c r="D813" s="12">
        <f>AVERAGE(D827,D818,D862)</f>
        <v>4.584866842</v>
      </c>
    </row>
    <row r="814" ht="25.5" customHeight="1">
      <c r="A814" s="4" t="s">
        <v>1462</v>
      </c>
      <c r="B814" s="8"/>
      <c r="C814" s="6" t="s">
        <v>1463</v>
      </c>
      <c r="D814" s="12">
        <f>D848+(((D2077-D848)/6)*5)</f>
        <v>5.68258046</v>
      </c>
    </row>
    <row r="815" ht="25.5" customHeight="1">
      <c r="A815" s="4" t="s">
        <v>1464</v>
      </c>
      <c r="B815" s="8"/>
      <c r="C815" s="6" t="s">
        <v>847</v>
      </c>
      <c r="D815" s="12">
        <f>D848+(((D2077-D848)/6)*2)</f>
        <v>7.475632184</v>
      </c>
    </row>
    <row r="816" ht="25.5" customHeight="1">
      <c r="A816" s="4" t="s">
        <v>1465</v>
      </c>
      <c r="B816" s="8"/>
      <c r="C816" s="6" t="s">
        <v>116</v>
      </c>
      <c r="D816" s="12">
        <f>D1272+(((D828-D1272)/11)*4)</f>
        <v>7.834818182</v>
      </c>
    </row>
    <row r="817" ht="25.5" customHeight="1">
      <c r="A817" s="4" t="s">
        <v>1466</v>
      </c>
      <c r="B817" s="8"/>
      <c r="C817" s="6" t="s">
        <v>1098</v>
      </c>
      <c r="D817" s="12">
        <f>D1272+(((D828-D1272)/11)*9)</f>
        <v>8.432090909</v>
      </c>
    </row>
    <row r="818" ht="25.5" customHeight="1">
      <c r="A818" s="4" t="s">
        <v>1467</v>
      </c>
      <c r="B818" s="8"/>
      <c r="C818" s="6" t="s">
        <v>1468</v>
      </c>
      <c r="D818" s="12">
        <f>AVERAGE(D886,D872,D861,D812)</f>
        <v>4.298771579</v>
      </c>
    </row>
    <row r="819" ht="25.5" customHeight="1">
      <c r="A819" s="4" t="s">
        <v>1469</v>
      </c>
      <c r="B819" s="8"/>
      <c r="C819" s="6" t="s">
        <v>1470</v>
      </c>
      <c r="D819" s="12">
        <f>D873+(((D875-D873)/3)*1)</f>
        <v>2.571787879</v>
      </c>
    </row>
    <row r="820" ht="25.5" customHeight="1">
      <c r="A820" s="4" t="s">
        <v>1471</v>
      </c>
      <c r="B820" s="8"/>
      <c r="C820" s="6" t="s">
        <v>124</v>
      </c>
      <c r="D820" s="12">
        <f>AVERAGE(D832,D888,D823)</f>
        <v>6.767706897</v>
      </c>
    </row>
    <row r="821" ht="25.5" customHeight="1">
      <c r="A821" s="4" t="s">
        <v>1472</v>
      </c>
      <c r="B821" s="8"/>
      <c r="C821" s="6" t="s">
        <v>872</v>
      </c>
      <c r="D821" s="12">
        <f>AVERAGE(D809,D1052)</f>
        <v>5.72</v>
      </c>
    </row>
    <row r="822" ht="25.5" customHeight="1">
      <c r="A822" s="4" t="s">
        <v>1473</v>
      </c>
      <c r="B822" s="8"/>
      <c r="C822" s="6" t="s">
        <v>1474</v>
      </c>
      <c r="D822" s="12">
        <f>D707+(((D848-D707)/6)*3)</f>
        <v>5.597663158</v>
      </c>
    </row>
    <row r="823" ht="25.5" customHeight="1">
      <c r="A823" s="4" t="s">
        <v>1475</v>
      </c>
      <c r="B823" s="8"/>
      <c r="C823" s="6" t="s">
        <v>126</v>
      </c>
      <c r="D823" s="12">
        <f>D848+(((D2077-D848)/6)*3)</f>
        <v>6.877948276</v>
      </c>
    </row>
    <row r="824" ht="25.5" customHeight="1">
      <c r="A824" s="4" t="s">
        <v>1476</v>
      </c>
      <c r="B824" s="8"/>
      <c r="C824" s="6" t="s">
        <v>248</v>
      </c>
      <c r="D824" s="12">
        <f>AVERAGE(D884,D842,D849,D865,D808)</f>
        <v>4.301340823</v>
      </c>
    </row>
    <row r="825" ht="25.5" customHeight="1">
      <c r="A825" s="4" t="s">
        <v>1477</v>
      </c>
      <c r="B825" s="8"/>
      <c r="C825" s="6" t="s">
        <v>1478</v>
      </c>
      <c r="D825" s="12">
        <f>AVERAGE(D864,D881,D886)</f>
        <v>3.283608421</v>
      </c>
    </row>
    <row r="826" ht="25.5" customHeight="1">
      <c r="A826" s="4" t="s">
        <v>1479</v>
      </c>
      <c r="B826" s="8"/>
      <c r="C826" s="6" t="s">
        <v>252</v>
      </c>
      <c r="D826" s="12">
        <f>D1272+(((D828-D1272)/11)*8)</f>
        <v>8.312636364</v>
      </c>
    </row>
    <row r="827" ht="25.5" customHeight="1">
      <c r="A827" s="4" t="s">
        <v>1480</v>
      </c>
      <c r="B827" s="8"/>
      <c r="C827" s="6" t="s">
        <v>130</v>
      </c>
      <c r="D827" s="12">
        <f>AVERAGE(D852,D810)</f>
        <v>5.766155263</v>
      </c>
    </row>
    <row r="828" ht="25.5" customHeight="1">
      <c r="A828" s="4" t="s">
        <v>1481</v>
      </c>
      <c r="B828" s="8"/>
      <c r="C828" s="9" t="s">
        <v>689</v>
      </c>
      <c r="D828" s="12">
        <v>8.671</v>
      </c>
      <c r="E828" s="10" t="s">
        <v>1482</v>
      </c>
    </row>
    <row r="829" ht="25.5" customHeight="1">
      <c r="A829" s="4" t="s">
        <v>1483</v>
      </c>
      <c r="B829" s="8"/>
      <c r="C829" s="6" t="s">
        <v>896</v>
      </c>
      <c r="D829" s="12">
        <f>D848+(((D2103-D848)/5)*1)</f>
        <v>7.887634483</v>
      </c>
    </row>
    <row r="830" ht="25.5" customHeight="1">
      <c r="A830" s="4" t="s">
        <v>1484</v>
      </c>
      <c r="B830" s="8"/>
      <c r="C830" s="6" t="s">
        <v>213</v>
      </c>
      <c r="D830" s="12">
        <f>D739+(((D821-D739)/10)*9)</f>
        <v>5.313934737</v>
      </c>
    </row>
    <row r="831" ht="25.5" customHeight="1">
      <c r="A831" s="4" t="s">
        <v>1485</v>
      </c>
      <c r="B831" s="8"/>
      <c r="C831" s="6" t="s">
        <v>1486</v>
      </c>
      <c r="D831" s="12">
        <f>D707+(((D848-D707)/6)*5)</f>
        <v>7.646554386</v>
      </c>
    </row>
    <row r="832" ht="25.5" customHeight="1">
      <c r="A832" s="4" t="s">
        <v>1487</v>
      </c>
      <c r="B832" s="8"/>
      <c r="C832" s="6" t="s">
        <v>134</v>
      </c>
      <c r="D832" s="12">
        <f>D848+(((D2103-D848)/5)*2)</f>
        <v>7.104268966</v>
      </c>
    </row>
    <row r="833" ht="25.5" customHeight="1">
      <c r="A833" s="4" t="s">
        <v>1488</v>
      </c>
      <c r="B833" s="8"/>
      <c r="C833" s="6" t="s">
        <v>259</v>
      </c>
      <c r="D833" s="12">
        <f>AVERAGE(D811,D826)</f>
        <v>7.70828961</v>
      </c>
    </row>
    <row r="834" ht="25.5" customHeight="1">
      <c r="A834" s="4" t="s">
        <v>1489</v>
      </c>
      <c r="B834" s="8"/>
      <c r="C834" s="6" t="s">
        <v>1490</v>
      </c>
      <c r="D834" s="12">
        <f>D1272+(((D828-D1272)/11)*7)</f>
        <v>8.193181818</v>
      </c>
    </row>
    <row r="835" ht="25.5" customHeight="1">
      <c r="A835" s="4" t="s">
        <v>1491</v>
      </c>
      <c r="B835" s="8"/>
      <c r="C835" s="6" t="s">
        <v>138</v>
      </c>
      <c r="D835" s="12">
        <f>D848+(((D809-D848)/5)*3)</f>
        <v>10.3324</v>
      </c>
    </row>
    <row r="836" ht="25.5" customHeight="1">
      <c r="A836" s="4" t="s">
        <v>1492</v>
      </c>
      <c r="B836" s="8"/>
      <c r="C836" s="6" t="s">
        <v>912</v>
      </c>
      <c r="D836" s="12">
        <f>D713+(((D848-D713)/7)*2)</f>
        <v>4.753357143</v>
      </c>
    </row>
    <row r="837" ht="25.5" customHeight="1">
      <c r="A837" s="4" t="s">
        <v>1493</v>
      </c>
      <c r="B837" s="8"/>
      <c r="C837" s="6" t="s">
        <v>1494</v>
      </c>
      <c r="D837" s="12">
        <f>AVERAGE(D889,D817)</f>
        <v>8.252909091</v>
      </c>
    </row>
    <row r="838" ht="25.5" customHeight="1">
      <c r="A838" s="4" t="s">
        <v>1495</v>
      </c>
      <c r="B838" s="8"/>
      <c r="C838" s="6" t="s">
        <v>140</v>
      </c>
      <c r="D838" s="12">
        <f>AVERAGE(D868,D870,D809,D1017)</f>
        <v>8.529788506</v>
      </c>
    </row>
    <row r="839" ht="25.5" customHeight="1">
      <c r="A839" s="4" t="s">
        <v>1496</v>
      </c>
      <c r="B839" s="8"/>
      <c r="C839" s="6" t="s">
        <v>1497</v>
      </c>
      <c r="D839" s="12">
        <f>AVERAGE(D868,D815,D802,D835,D870)</f>
        <v>8.95061931</v>
      </c>
    </row>
    <row r="840" ht="25.5" customHeight="1">
      <c r="A840" s="4" t="s">
        <v>1498</v>
      </c>
      <c r="B840" s="8"/>
      <c r="C840" s="6" t="s">
        <v>267</v>
      </c>
      <c r="D840" s="12">
        <f>D848+(((D809-D848)/5)*1)</f>
        <v>9.2248</v>
      </c>
    </row>
    <row r="841" ht="25.5" customHeight="1">
      <c r="A841" s="4" t="s">
        <v>1499</v>
      </c>
      <c r="B841" s="8"/>
      <c r="C841" s="6" t="s">
        <v>1362</v>
      </c>
      <c r="D841" s="12">
        <f>AVERAGE(D876,D827,D862,D825)</f>
        <v>4.266379518</v>
      </c>
    </row>
    <row r="842" ht="25.5" customHeight="1">
      <c r="A842" s="4" t="s">
        <v>1500</v>
      </c>
      <c r="B842" s="8"/>
      <c r="C842" s="6" t="s">
        <v>1501</v>
      </c>
      <c r="D842" s="12">
        <f>D819</f>
        <v>2.571787879</v>
      </c>
    </row>
    <row r="843" ht="25.5" customHeight="1">
      <c r="A843" s="4" t="s">
        <v>1502</v>
      </c>
      <c r="B843" s="8"/>
      <c r="C843" s="6" t="s">
        <v>1503</v>
      </c>
      <c r="D843" s="12">
        <f>D873+(((D875-D873)/3)*2)</f>
        <v>5.143575758</v>
      </c>
    </row>
    <row r="844" ht="25.5" customHeight="1">
      <c r="A844" s="4" t="s">
        <v>1504</v>
      </c>
      <c r="B844" s="8"/>
      <c r="C844" s="6" t="s">
        <v>402</v>
      </c>
      <c r="D844" s="12">
        <f>D713+(((D848-D713)/7)*1)</f>
        <v>3.969828571</v>
      </c>
    </row>
    <row r="845" ht="25.5" customHeight="1">
      <c r="A845" s="4" t="s">
        <v>1505</v>
      </c>
      <c r="B845" s="8"/>
      <c r="C845" s="6" t="s">
        <v>1506</v>
      </c>
      <c r="D845" s="12">
        <f>D844+(((D873-D844)/3)*2)</f>
        <v>1.32327619</v>
      </c>
    </row>
    <row r="846" ht="25.5" customHeight="1">
      <c r="A846" s="4" t="s">
        <v>1507</v>
      </c>
      <c r="B846" s="8"/>
      <c r="C846" s="6" t="s">
        <v>147</v>
      </c>
      <c r="D846" s="12">
        <f>AVERAGE(D835,D852)</f>
        <v>8.2262</v>
      </c>
    </row>
    <row r="847" ht="25.5" customHeight="1">
      <c r="A847" s="4" t="s">
        <v>1508</v>
      </c>
      <c r="B847" s="8"/>
      <c r="C847" s="6" t="s">
        <v>157</v>
      </c>
      <c r="D847" s="12">
        <f>D1272+(((D828-D1272)/11)*10)</f>
        <v>8.551545455</v>
      </c>
    </row>
    <row r="848" ht="25.5" customHeight="1">
      <c r="A848" s="4" t="s">
        <v>1509</v>
      </c>
      <c r="B848" s="8"/>
      <c r="C848" s="6" t="s">
        <v>161</v>
      </c>
      <c r="D848" s="12">
        <f>D828</f>
        <v>8.671</v>
      </c>
    </row>
    <row r="849" ht="25.5" customHeight="1">
      <c r="A849" s="4" t="s">
        <v>1510</v>
      </c>
      <c r="B849" s="8"/>
      <c r="C849" s="6" t="s">
        <v>163</v>
      </c>
      <c r="D849" s="12">
        <f>D873</f>
        <v>0</v>
      </c>
    </row>
    <row r="850" ht="25.5" customHeight="1">
      <c r="A850" s="4" t="s">
        <v>1511</v>
      </c>
      <c r="B850" s="8"/>
      <c r="C850" s="6" t="s">
        <v>720</v>
      </c>
      <c r="D850" s="12">
        <f>AVERAGE(D827,D846,D858,D818)</f>
        <v>5.799749079</v>
      </c>
    </row>
    <row r="851" ht="25.5" customHeight="1">
      <c r="A851" s="4" t="s">
        <v>1512</v>
      </c>
      <c r="B851" s="8"/>
      <c r="C851" s="6" t="s">
        <v>1513</v>
      </c>
      <c r="D851" s="12">
        <f>AVERAGE(D884,D833,D808)</f>
        <v>7.166028139</v>
      </c>
    </row>
    <row r="852" ht="25.5" customHeight="1">
      <c r="A852" s="4" t="s">
        <v>1514</v>
      </c>
      <c r="B852" s="8"/>
      <c r="C852" s="9" t="s">
        <v>167</v>
      </c>
      <c r="D852" s="12">
        <v>6.12</v>
      </c>
      <c r="E852" s="10" t="s">
        <v>1515</v>
      </c>
    </row>
    <row r="853" ht="25.5" customHeight="1">
      <c r="A853" s="4" t="s">
        <v>1516</v>
      </c>
      <c r="B853" s="8"/>
      <c r="C853" s="6" t="s">
        <v>169</v>
      </c>
      <c r="D853" s="12">
        <f>D707+(((D848-D707)/6)*4)</f>
        <v>6.622108772</v>
      </c>
    </row>
    <row r="854" ht="25.5" customHeight="1">
      <c r="A854" s="4" t="s">
        <v>1517</v>
      </c>
      <c r="B854" s="8"/>
      <c r="C854" s="6" t="s">
        <v>171</v>
      </c>
      <c r="D854" s="12">
        <f>D848+(((D715-D848)/6)*1)</f>
        <v>7.584770175</v>
      </c>
    </row>
    <row r="855" ht="25.5" customHeight="1">
      <c r="A855" s="4" t="s">
        <v>1518</v>
      </c>
      <c r="B855" s="8"/>
      <c r="C855" s="6" t="s">
        <v>291</v>
      </c>
      <c r="D855" s="12">
        <f>AVERAGE(D736,D744,D844,D836)</f>
        <v>3.597420113</v>
      </c>
    </row>
    <row r="856" ht="25.5" customHeight="1">
      <c r="A856" s="4" t="s">
        <v>1519</v>
      </c>
      <c r="B856" s="8"/>
      <c r="C856" s="6" t="s">
        <v>1520</v>
      </c>
      <c r="D856" s="12">
        <f>AVERAGE(D801,D816,D843,D819)</f>
        <v>5.876113636</v>
      </c>
    </row>
    <row r="857" ht="25.5" customHeight="1">
      <c r="A857" s="4" t="s">
        <v>1521</v>
      </c>
      <c r="B857" s="8"/>
      <c r="C857" s="6" t="s">
        <v>1522</v>
      </c>
      <c r="D857" s="12">
        <f>AVERAGE(D814,D1004)</f>
        <v>5.493979885</v>
      </c>
    </row>
    <row r="858" ht="25.5" customHeight="1">
      <c r="A858" s="4" t="s">
        <v>1523</v>
      </c>
      <c r="B858" s="8"/>
      <c r="C858" s="6" t="s">
        <v>430</v>
      </c>
      <c r="D858" s="12">
        <f>D812</f>
        <v>4.907869474</v>
      </c>
    </row>
    <row r="859" ht="25.5" customHeight="1">
      <c r="A859" s="4" t="s">
        <v>1524</v>
      </c>
      <c r="B859" s="8"/>
      <c r="C859" s="6" t="s">
        <v>1525</v>
      </c>
      <c r="D859" s="12">
        <f>AVERAGE(D852,D854,D866,D810)</f>
        <v>6.403905263</v>
      </c>
    </row>
    <row r="860" ht="25.5" customHeight="1">
      <c r="A860" s="4" t="s">
        <v>1526</v>
      </c>
      <c r="B860" s="8"/>
      <c r="C860" s="6" t="s">
        <v>1527</v>
      </c>
      <c r="D860" s="12">
        <f>AVERAGE(D822,D853,D866,D810,D883,D882)</f>
        <v>5.504986842</v>
      </c>
    </row>
    <row r="861" ht="25.5" customHeight="1">
      <c r="A861" s="4" t="s">
        <v>1528</v>
      </c>
      <c r="B861" s="8"/>
      <c r="C861" s="6" t="s">
        <v>173</v>
      </c>
      <c r="D861" s="12">
        <f>D739+(((D821-D739)/10)*7)</f>
        <v>4.501804211</v>
      </c>
    </row>
    <row r="862" ht="25.5" customHeight="1">
      <c r="A862" s="4" t="s">
        <v>1529</v>
      </c>
      <c r="B862" s="8"/>
      <c r="C862" s="6" t="s">
        <v>177</v>
      </c>
      <c r="D862" s="12">
        <f>D886</f>
        <v>3.689673684</v>
      </c>
    </row>
    <row r="863" ht="25.5" customHeight="1">
      <c r="A863" s="4" t="s">
        <v>1530</v>
      </c>
      <c r="B863" s="8"/>
      <c r="C863" s="6" t="s">
        <v>1531</v>
      </c>
      <c r="D863" s="12">
        <f>D844+(((D873-D844)/3)*1)</f>
        <v>2.646552381</v>
      </c>
    </row>
    <row r="864" ht="25.5" customHeight="1">
      <c r="A864" s="4" t="s">
        <v>1532</v>
      </c>
      <c r="B864" s="8"/>
      <c r="C864" s="6" t="s">
        <v>1533</v>
      </c>
      <c r="D864" s="12">
        <f>D739+(((D821-D739)/10)*3)</f>
        <v>2.877543158</v>
      </c>
    </row>
    <row r="865" ht="25.5" customHeight="1">
      <c r="A865" s="4" t="s">
        <v>1534</v>
      </c>
      <c r="B865" s="8"/>
      <c r="C865" s="6" t="s">
        <v>307</v>
      </c>
      <c r="D865" s="12">
        <f>AVERAGE(D836,D890)</f>
        <v>5.145121429</v>
      </c>
    </row>
    <row r="866" ht="25.5" customHeight="1">
      <c r="A866" s="4" t="s">
        <v>1535</v>
      </c>
      <c r="B866" s="8"/>
      <c r="C866" s="6" t="s">
        <v>745</v>
      </c>
      <c r="D866" s="12">
        <f>D848+(((D715-D848)/6)*2)</f>
        <v>6.498540351</v>
      </c>
    </row>
    <row r="867" ht="25.5" customHeight="1">
      <c r="A867" s="4" t="s">
        <v>1536</v>
      </c>
      <c r="B867" s="8"/>
      <c r="C867" s="6" t="s">
        <v>179</v>
      </c>
      <c r="D867" s="12">
        <f>AVERAGE(D817,D832,D888)</f>
        <v>7.285754441</v>
      </c>
    </row>
    <row r="868" ht="25.5" customHeight="1">
      <c r="A868" s="4" t="s">
        <v>1537</v>
      </c>
      <c r="B868" s="8"/>
      <c r="C868" s="6" t="s">
        <v>1538</v>
      </c>
      <c r="D868" s="12">
        <f>D848+(((D2077-D848)/6)*4)</f>
        <v>6.280264368</v>
      </c>
    </row>
    <row r="869" ht="25.5" customHeight="1">
      <c r="A869" s="4" t="s">
        <v>1539</v>
      </c>
      <c r="B869" s="8"/>
      <c r="C869" s="6" t="s">
        <v>1540</v>
      </c>
      <c r="D869" s="12">
        <f>AVERAGE(D823,D815,D871,D829,D832)</f>
        <v>7.48376</v>
      </c>
    </row>
    <row r="870" ht="25.5" customHeight="1">
      <c r="A870" s="4" t="s">
        <v>1541</v>
      </c>
      <c r="B870" s="8"/>
      <c r="C870" s="6" t="s">
        <v>312</v>
      </c>
      <c r="D870" s="12">
        <f>D848+(((D809-D848)/5)*4)</f>
        <v>10.8862</v>
      </c>
    </row>
    <row r="871" ht="25.5" customHeight="1">
      <c r="A871" s="4" t="s">
        <v>1542</v>
      </c>
      <c r="B871" s="8"/>
      <c r="C871" s="6" t="s">
        <v>183</v>
      </c>
      <c r="D871" s="12">
        <f>D848+(((D2077-D848)/6)*1)</f>
        <v>8.073316092</v>
      </c>
    </row>
    <row r="872" ht="25.5" customHeight="1">
      <c r="A872" s="4" t="s">
        <v>1543</v>
      </c>
      <c r="B872" s="8"/>
      <c r="C872" s="6" t="s">
        <v>1544</v>
      </c>
      <c r="D872" s="12">
        <f>D739+(((D821-D739)/10)*6)</f>
        <v>4.095738947</v>
      </c>
    </row>
    <row r="873" ht="25.5" customHeight="1">
      <c r="A873" s="4" t="s">
        <v>1545</v>
      </c>
      <c r="B873" s="8"/>
      <c r="C873" s="9" t="s">
        <v>1546</v>
      </c>
      <c r="D873" s="12">
        <v>0.0</v>
      </c>
      <c r="E873" s="10" t="s">
        <v>1547</v>
      </c>
    </row>
    <row r="874" ht="25.5" customHeight="1">
      <c r="A874" s="4" t="s">
        <v>1548</v>
      </c>
      <c r="B874" s="8"/>
      <c r="C874" s="6" t="s">
        <v>1549</v>
      </c>
      <c r="D874" s="12">
        <f>AVERAGE(D873,D845,D836)</f>
        <v>2.025544444</v>
      </c>
    </row>
    <row r="875" ht="25.5" customHeight="1">
      <c r="A875" s="4" t="s">
        <v>1550</v>
      </c>
      <c r="B875" s="8"/>
      <c r="C875" s="6" t="s">
        <v>1551</v>
      </c>
      <c r="D875" s="12">
        <f>D1272+(((D828-D1272)/11)*3)</f>
        <v>7.715363636</v>
      </c>
    </row>
    <row r="876" ht="25.5" customHeight="1">
      <c r="A876" s="4" t="s">
        <v>1552</v>
      </c>
      <c r="B876" s="8"/>
      <c r="C876" s="6" t="s">
        <v>1553</v>
      </c>
      <c r="D876" s="12">
        <f>AVERAGE(D810,D883,D709)</f>
        <v>4.326080702</v>
      </c>
    </row>
    <row r="877" ht="25.5" customHeight="1">
      <c r="A877" s="4" t="s">
        <v>1554</v>
      </c>
      <c r="B877" s="8"/>
      <c r="C877" s="6" t="s">
        <v>1555</v>
      </c>
      <c r="D877" s="12">
        <f>AVERAGE(D868,D1017,D1035,D1004)</f>
        <v>5.626841954</v>
      </c>
    </row>
    <row r="878" ht="25.5" customHeight="1">
      <c r="A878" s="4" t="s">
        <v>1556</v>
      </c>
      <c r="B878" s="8"/>
      <c r="C878" s="6" t="s">
        <v>1557</v>
      </c>
      <c r="D878" s="12">
        <f>D713+(((D848-D713)/7)*4)</f>
        <v>6.320414286</v>
      </c>
    </row>
    <row r="879" ht="25.5" customHeight="1">
      <c r="A879" s="4" t="s">
        <v>1558</v>
      </c>
      <c r="B879" s="8"/>
      <c r="C879" s="6" t="s">
        <v>1559</v>
      </c>
      <c r="D879" s="12">
        <f>AVERAGE(D811,D828,D847)</f>
        <v>8.108829437</v>
      </c>
    </row>
    <row r="880" ht="25.5" customHeight="1">
      <c r="A880" s="4" t="s">
        <v>1560</v>
      </c>
      <c r="B880" s="8"/>
      <c r="C880" s="6" t="s">
        <v>326</v>
      </c>
      <c r="D880" s="12">
        <f>AVERAGE(D888,D823,D2114,D2055)</f>
        <v>5.927761207</v>
      </c>
    </row>
    <row r="881" ht="25.5" customHeight="1">
      <c r="A881" s="4" t="s">
        <v>1561</v>
      </c>
      <c r="B881" s="8"/>
      <c r="C881" s="6" t="s">
        <v>1562</v>
      </c>
      <c r="D881" s="12">
        <f>D739+(((D821-D739)/10)*4)</f>
        <v>3.283608421</v>
      </c>
    </row>
    <row r="882" ht="25.5" customHeight="1">
      <c r="A882" s="4" t="s">
        <v>1563</v>
      </c>
      <c r="B882" s="8"/>
      <c r="C882" s="6" t="s">
        <v>1564</v>
      </c>
      <c r="D882" s="12">
        <f>D707+(((D848-D707)/6)*2)</f>
        <v>4.573217544</v>
      </c>
    </row>
    <row r="883" ht="25.5" customHeight="1">
      <c r="A883" s="4" t="s">
        <v>1565</v>
      </c>
      <c r="B883" s="8"/>
      <c r="C883" s="6" t="s">
        <v>1566</v>
      </c>
      <c r="D883" s="12">
        <f>D848+(((D715-D848)/6)*4)</f>
        <v>4.326080702</v>
      </c>
    </row>
    <row r="884" ht="25.5" customHeight="1">
      <c r="A884" s="4" t="s">
        <v>1567</v>
      </c>
      <c r="B884" s="8"/>
      <c r="C884" s="6" t="s">
        <v>1428</v>
      </c>
      <c r="D884" s="12">
        <f>AVERAGE(D826,D834)</f>
        <v>8.252909091</v>
      </c>
    </row>
    <row r="885" ht="25.5" customHeight="1">
      <c r="A885" s="4" t="s">
        <v>1568</v>
      </c>
      <c r="B885" s="8"/>
      <c r="C885" s="6" t="s">
        <v>1025</v>
      </c>
      <c r="D885" s="12">
        <f>AVERAGE(D878,D822,D882,D789)</f>
        <v>5.010016729</v>
      </c>
    </row>
    <row r="886" ht="25.5" customHeight="1">
      <c r="A886" s="4" t="s">
        <v>1569</v>
      </c>
      <c r="B886" s="8"/>
      <c r="C886" s="6" t="s">
        <v>1570</v>
      </c>
      <c r="D886" s="12">
        <f>D739+(((D821-D739)/10)*5)</f>
        <v>3.689673684</v>
      </c>
    </row>
    <row r="887" ht="25.5" customHeight="1">
      <c r="A887" s="4" t="s">
        <v>1571</v>
      </c>
      <c r="B887" s="8"/>
      <c r="C887" s="6" t="s">
        <v>197</v>
      </c>
      <c r="D887" s="12">
        <f>AVERAGE(D812,D830,D821,D809,D870,D835)</f>
        <v>8.100067368</v>
      </c>
    </row>
    <row r="888" ht="25.5" customHeight="1">
      <c r="A888" s="4" t="s">
        <v>1572</v>
      </c>
      <c r="B888" s="8"/>
      <c r="C888" s="6" t="s">
        <v>1028</v>
      </c>
      <c r="D888" s="12">
        <f>D848+(((D2103-D848)/5)*3)</f>
        <v>6.320903448</v>
      </c>
    </row>
    <row r="889" ht="25.5" customHeight="1">
      <c r="A889" s="4" t="s">
        <v>1573</v>
      </c>
      <c r="B889" s="8"/>
      <c r="C889" s="6" t="s">
        <v>1574</v>
      </c>
      <c r="D889" s="12">
        <f>D1272+(((D828-D1272)/11)*6)</f>
        <v>8.073727273</v>
      </c>
    </row>
    <row r="890" ht="25.5" customHeight="1">
      <c r="A890" s="4" t="s">
        <v>1575</v>
      </c>
      <c r="B890" s="8"/>
      <c r="C890" s="6" t="s">
        <v>331</v>
      </c>
      <c r="D890" s="12">
        <f>D713+(((D848-D713)/7)*3)</f>
        <v>5.536885714</v>
      </c>
    </row>
    <row r="891" ht="25.5" customHeight="1">
      <c r="A891" s="4" t="s">
        <v>1576</v>
      </c>
      <c r="B891" s="11"/>
      <c r="C891" s="6" t="s">
        <v>1577</v>
      </c>
      <c r="D891" s="12">
        <f>AVERAGE(D834,D801)</f>
        <v>8.073727273</v>
      </c>
    </row>
    <row r="892" ht="25.5" customHeight="1">
      <c r="A892" s="4" t="s">
        <v>1578</v>
      </c>
      <c r="B892" s="5" t="s">
        <v>1579</v>
      </c>
      <c r="C892" s="6" t="s">
        <v>1445</v>
      </c>
      <c r="D892" s="12">
        <f>AVERAGE(D995,D893)</f>
        <v>10.16325</v>
      </c>
    </row>
    <row r="893" ht="25.5" customHeight="1">
      <c r="A893" s="4" t="s">
        <v>1580</v>
      </c>
      <c r="B893" s="8"/>
      <c r="C893" s="6" t="s">
        <v>1581</v>
      </c>
      <c r="D893" s="12">
        <f>AVERAGE(D907,D921)</f>
        <v>9.9982</v>
      </c>
    </row>
    <row r="894" ht="25.5" customHeight="1">
      <c r="A894" s="4" t="s">
        <v>1582</v>
      </c>
      <c r="B894" s="8"/>
      <c r="C894" s="6" t="s">
        <v>1583</v>
      </c>
      <c r="D894" s="12">
        <f>AVERAGE(D943,D1487,D1415)</f>
        <v>2.940872222</v>
      </c>
    </row>
    <row r="895" ht="25.5" customHeight="1">
      <c r="A895" s="4" t="s">
        <v>1584</v>
      </c>
      <c r="B895" s="8"/>
      <c r="C895" s="6" t="s">
        <v>1585</v>
      </c>
      <c r="D895" s="12">
        <f>AVERAGE(D930,D939)</f>
        <v>11.896275</v>
      </c>
    </row>
    <row r="896" ht="25.5" customHeight="1">
      <c r="A896" s="4" t="s">
        <v>1586</v>
      </c>
      <c r="B896" s="8"/>
      <c r="C896" s="6" t="s">
        <v>1587</v>
      </c>
      <c r="D896" s="12">
        <f>AVERAGE(D918,D975)</f>
        <v>8.8135</v>
      </c>
    </row>
    <row r="897" ht="25.5" customHeight="1">
      <c r="A897" s="4" t="s">
        <v>1588</v>
      </c>
      <c r="B897" s="8"/>
      <c r="C897" s="6" t="s">
        <v>1589</v>
      </c>
      <c r="D897" s="12">
        <f>AVERAGE(D945,D892,D910,D1513)</f>
        <v>8.59755625</v>
      </c>
    </row>
    <row r="898" ht="25.5" customHeight="1">
      <c r="A898" s="4" t="s">
        <v>1590</v>
      </c>
      <c r="B898" s="8"/>
      <c r="C898" s="6" t="s">
        <v>1297</v>
      </c>
      <c r="D898" s="12">
        <f>AVERAGE(D1884,D913,D894,D934)</f>
        <v>5.259119444</v>
      </c>
    </row>
    <row r="899" ht="25.5" customHeight="1">
      <c r="A899" s="4" t="s">
        <v>1591</v>
      </c>
      <c r="B899" s="8"/>
      <c r="C899" s="6" t="s">
        <v>80</v>
      </c>
      <c r="D899" s="12">
        <f>D2575+(((D914-D2575)/20)*14)</f>
        <v>11.3186</v>
      </c>
    </row>
    <row r="900" ht="25.5" customHeight="1">
      <c r="A900" s="4" t="s">
        <v>1592</v>
      </c>
      <c r="B900" s="8"/>
      <c r="C900" s="6" t="s">
        <v>1593</v>
      </c>
      <c r="D900" s="12">
        <f>D2575+(((D914-D2575)/20)*15)</f>
        <v>10.9885</v>
      </c>
    </row>
    <row r="901" ht="25.5" customHeight="1">
      <c r="A901" s="4" t="s">
        <v>1594</v>
      </c>
      <c r="B901" s="8"/>
      <c r="C901" s="6" t="s">
        <v>1595</v>
      </c>
      <c r="D901" s="12">
        <f>AVERAGE(D916,D909,D961)</f>
        <v>11.06185556</v>
      </c>
    </row>
    <row r="902" ht="25.5" customHeight="1">
      <c r="A902" s="4" t="s">
        <v>1596</v>
      </c>
      <c r="B902" s="8"/>
      <c r="C902" s="6" t="s">
        <v>86</v>
      </c>
      <c r="D902" s="12">
        <f>AVERAGE(D1453,D1477,D2192,D2152)</f>
        <v>8.5793</v>
      </c>
    </row>
    <row r="903" ht="25.5" customHeight="1">
      <c r="A903" s="4" t="s">
        <v>1597</v>
      </c>
      <c r="B903" s="8"/>
      <c r="C903" s="6" t="s">
        <v>517</v>
      </c>
      <c r="D903" s="12">
        <f>D982</f>
        <v>27.442</v>
      </c>
    </row>
    <row r="904" ht="25.5" customHeight="1">
      <c r="A904" s="4" t="s">
        <v>1598</v>
      </c>
      <c r="B904" s="8"/>
      <c r="C904" s="6" t="s">
        <v>222</v>
      </c>
      <c r="D904" s="12">
        <f>AVERAGE(D920,D940,D908,D2164,D2138)</f>
        <v>14.35972712</v>
      </c>
    </row>
    <row r="905" ht="25.5" customHeight="1">
      <c r="A905" s="4" t="s">
        <v>1599</v>
      </c>
      <c r="B905" s="8"/>
      <c r="C905" s="6" t="s">
        <v>94</v>
      </c>
      <c r="D905" s="12">
        <f>AVERAGE(D912,D922,D972)</f>
        <v>5.601333333</v>
      </c>
    </row>
    <row r="906" ht="25.5" customHeight="1">
      <c r="A906" s="4" t="s">
        <v>1600</v>
      </c>
      <c r="B906" s="8"/>
      <c r="C906" s="6" t="s">
        <v>1601</v>
      </c>
      <c r="D906" s="12">
        <f>AVERAGE(D992,D905,D963)</f>
        <v>5.445638889</v>
      </c>
    </row>
    <row r="907" ht="25.5" customHeight="1">
      <c r="A907" s="4" t="s">
        <v>1602</v>
      </c>
      <c r="B907" s="8"/>
      <c r="C907" s="6" t="s">
        <v>1603</v>
      </c>
      <c r="D907" s="12">
        <f>D2575+(((D914-D2575)/20)*17)</f>
        <v>10.3283</v>
      </c>
    </row>
    <row r="908" ht="25.5" customHeight="1">
      <c r="A908" s="4" t="s">
        <v>1604</v>
      </c>
      <c r="B908" s="8"/>
      <c r="C908" s="6" t="s">
        <v>1605</v>
      </c>
      <c r="D908" s="12">
        <f>D895</f>
        <v>11.896275</v>
      </c>
    </row>
    <row r="909" ht="25.5" customHeight="1">
      <c r="A909" s="4" t="s">
        <v>1606</v>
      </c>
      <c r="B909" s="8"/>
      <c r="C909" s="6" t="s">
        <v>1607</v>
      </c>
      <c r="D909" s="12">
        <f>AVERAGE(D2170,D987,D899)</f>
        <v>11.86876667</v>
      </c>
    </row>
    <row r="910" ht="25.5" customHeight="1">
      <c r="A910" s="4" t="s">
        <v>1608</v>
      </c>
      <c r="B910" s="8"/>
      <c r="C910" s="6" t="s">
        <v>234</v>
      </c>
      <c r="D910" s="12">
        <f>AVERAGE(D902,D1410)</f>
        <v>8.0743</v>
      </c>
    </row>
    <row r="911" ht="25.5" customHeight="1">
      <c r="A911" s="4" t="s">
        <v>1609</v>
      </c>
      <c r="B911" s="8"/>
      <c r="C911" s="6" t="s">
        <v>847</v>
      </c>
      <c r="D911" s="12">
        <f>AVERAGE(D981,D968)</f>
        <v>23.20825</v>
      </c>
    </row>
    <row r="912" ht="25.5" customHeight="1">
      <c r="A912" s="4" t="s">
        <v>1610</v>
      </c>
      <c r="B912" s="8"/>
      <c r="C912" s="6" t="s">
        <v>1102</v>
      </c>
      <c r="D912" s="12">
        <f>D976+(((D914-D976)/6)*1)</f>
        <v>4.667166667</v>
      </c>
    </row>
    <row r="913" ht="25.5" customHeight="1">
      <c r="A913" s="4" t="s">
        <v>1611</v>
      </c>
      <c r="B913" s="8"/>
      <c r="C913" s="6" t="s">
        <v>1612</v>
      </c>
      <c r="D913" s="12">
        <f>AVERAGE(D1415,D1406,D1448)</f>
        <v>4.153616667</v>
      </c>
    </row>
    <row r="914" ht="25.5" customHeight="1">
      <c r="A914" s="4" t="s">
        <v>1613</v>
      </c>
      <c r="B914" s="8"/>
      <c r="C914" s="9" t="s">
        <v>535</v>
      </c>
      <c r="D914" s="12">
        <v>9.338</v>
      </c>
      <c r="E914" s="10" t="s">
        <v>147</v>
      </c>
    </row>
    <row r="915" ht="25.5" customHeight="1">
      <c r="A915" s="4" t="s">
        <v>1614</v>
      </c>
      <c r="B915" s="8"/>
      <c r="C915" s="6" t="s">
        <v>1328</v>
      </c>
      <c r="D915" s="12">
        <f>AVERAGE(D967,D984,D964,D933)</f>
        <v>12.86756181</v>
      </c>
    </row>
    <row r="916" ht="25.5" customHeight="1">
      <c r="A916" s="4" t="s">
        <v>1615</v>
      </c>
      <c r="B916" s="8"/>
      <c r="C916" s="6" t="s">
        <v>1616</v>
      </c>
      <c r="D916" s="12">
        <f>D899</f>
        <v>11.3186</v>
      </c>
    </row>
    <row r="917" ht="25.5" customHeight="1">
      <c r="A917" s="4" t="s">
        <v>1617</v>
      </c>
      <c r="B917" s="8"/>
      <c r="C917" s="6" t="s">
        <v>1618</v>
      </c>
      <c r="D917" s="7">
        <f>D249+(((D976-D249)/11)*8)</f>
        <v>13.894</v>
      </c>
    </row>
    <row r="918" ht="25.5" customHeight="1">
      <c r="A918" s="4" t="s">
        <v>1619</v>
      </c>
      <c r="B918" s="8"/>
      <c r="C918" s="6" t="s">
        <v>1620</v>
      </c>
      <c r="D918" s="7">
        <f>D249+(((D976-D249)/11)*10)</f>
        <v>7.12</v>
      </c>
    </row>
    <row r="919" ht="25.5" customHeight="1">
      <c r="A919" s="4" t="s">
        <v>1621</v>
      </c>
      <c r="B919" s="8"/>
      <c r="C919" s="6" t="s">
        <v>1622</v>
      </c>
      <c r="D919" s="12">
        <f>AVERAGE(D942,D977)</f>
        <v>20.668</v>
      </c>
    </row>
    <row r="920" ht="25.5" customHeight="1">
      <c r="A920" s="4" t="s">
        <v>1623</v>
      </c>
      <c r="B920" s="8"/>
      <c r="C920" s="6" t="s">
        <v>1332</v>
      </c>
      <c r="D920" s="12">
        <f>D933</f>
        <v>18.9745</v>
      </c>
    </row>
    <row r="921" ht="25.5" customHeight="1">
      <c r="A921" s="4" t="s">
        <v>1624</v>
      </c>
      <c r="B921" s="8"/>
      <c r="C921" s="6" t="s">
        <v>126</v>
      </c>
      <c r="D921" s="12">
        <f>D2575+(((D914-D2575)/20)*19)</f>
        <v>9.6681</v>
      </c>
    </row>
    <row r="922" ht="25.5" customHeight="1">
      <c r="A922" s="4" t="s">
        <v>1625</v>
      </c>
      <c r="B922" s="8"/>
      <c r="C922" s="6" t="s">
        <v>1626</v>
      </c>
      <c r="D922" s="12">
        <f>D976+(((D914-D976)/6)*2)</f>
        <v>5.601333333</v>
      </c>
    </row>
    <row r="923" ht="25.5" customHeight="1">
      <c r="A923" s="4" t="s">
        <v>1627</v>
      </c>
      <c r="B923" s="8"/>
      <c r="C923" s="6" t="s">
        <v>1628</v>
      </c>
      <c r="D923" s="7">
        <f>D249+(((D976-D249)/11)*6)</f>
        <v>20.668</v>
      </c>
    </row>
    <row r="924" ht="25.5" customHeight="1">
      <c r="A924" s="4" t="s">
        <v>1629</v>
      </c>
      <c r="B924" s="8"/>
      <c r="C924" s="6" t="s">
        <v>346</v>
      </c>
      <c r="D924" s="12">
        <f>D989</f>
        <v>17.281</v>
      </c>
    </row>
    <row r="925" ht="25.5" customHeight="1">
      <c r="A925" s="4" t="s">
        <v>1630</v>
      </c>
      <c r="B925" s="8"/>
      <c r="C925" s="6" t="s">
        <v>252</v>
      </c>
      <c r="D925" s="12">
        <f>D985</f>
        <v>29.30676923</v>
      </c>
    </row>
    <row r="926" ht="25.5" customHeight="1">
      <c r="A926" s="4" t="s">
        <v>1631</v>
      </c>
      <c r="B926" s="8"/>
      <c r="C926" s="6" t="s">
        <v>1632</v>
      </c>
      <c r="D926" s="12">
        <f>AVERAGE(D933,D919)</f>
        <v>19.82125</v>
      </c>
    </row>
    <row r="927" ht="25.5" customHeight="1">
      <c r="A927" s="4" t="s">
        <v>1633</v>
      </c>
      <c r="B927" s="8"/>
      <c r="C927" s="6" t="s">
        <v>1634</v>
      </c>
      <c r="D927" s="12">
        <f>AVERAGE(D991,D256,D278)</f>
        <v>31.958</v>
      </c>
    </row>
    <row r="928" ht="25.5" customHeight="1">
      <c r="A928" s="4" t="s">
        <v>1635</v>
      </c>
      <c r="B928" s="8"/>
      <c r="C928" s="6" t="s">
        <v>1636</v>
      </c>
      <c r="D928" s="12">
        <f>AVERAGE(D947,D907,D900,D899)</f>
        <v>10.82345</v>
      </c>
    </row>
    <row r="929" ht="25.5" customHeight="1">
      <c r="A929" s="4" t="s">
        <v>1637</v>
      </c>
      <c r="B929" s="8"/>
      <c r="C929" s="6" t="s">
        <v>689</v>
      </c>
      <c r="D929" s="12">
        <f>AVERAGE(D927,D297,D985)</f>
        <v>30.73598291</v>
      </c>
    </row>
    <row r="930" ht="25.5" customHeight="1">
      <c r="A930" s="4" t="s">
        <v>1638</v>
      </c>
      <c r="B930" s="8"/>
      <c r="C930" s="6" t="s">
        <v>1639</v>
      </c>
      <c r="D930" s="12">
        <f>D987</f>
        <v>11.9788</v>
      </c>
    </row>
    <row r="931" ht="25.5" customHeight="1">
      <c r="A931" s="4" t="s">
        <v>1640</v>
      </c>
      <c r="B931" s="8"/>
      <c r="C931" s="6" t="s">
        <v>1641</v>
      </c>
      <c r="D931" s="12">
        <f>D976+(((D978-D976)/3)*2)</f>
        <v>9.010133333</v>
      </c>
    </row>
    <row r="932" ht="25.5" customHeight="1">
      <c r="A932" s="4" t="s">
        <v>1642</v>
      </c>
      <c r="B932" s="8"/>
      <c r="C932" s="6" t="s">
        <v>1643</v>
      </c>
      <c r="D932" s="12">
        <f>D919</f>
        <v>20.668</v>
      </c>
    </row>
    <row r="933" ht="25.5" customHeight="1">
      <c r="A933" s="4" t="s">
        <v>1644</v>
      </c>
      <c r="B933" s="8"/>
      <c r="C933" s="6" t="s">
        <v>1645</v>
      </c>
      <c r="D933" s="12">
        <f>D959</f>
        <v>18.9745</v>
      </c>
    </row>
    <row r="934" ht="25.5" customHeight="1">
      <c r="A934" s="4" t="s">
        <v>1646</v>
      </c>
      <c r="B934" s="8"/>
      <c r="C934" s="6" t="s">
        <v>138</v>
      </c>
      <c r="D934" s="12">
        <f>D980</f>
        <v>8.403833333</v>
      </c>
    </row>
    <row r="935" ht="25.5" customHeight="1">
      <c r="A935" s="4" t="s">
        <v>1647</v>
      </c>
      <c r="B935" s="8"/>
      <c r="C935" s="6" t="s">
        <v>140</v>
      </c>
      <c r="D935" s="12">
        <f>AVERAGE(D980,D914,D943)</f>
        <v>7.470277778</v>
      </c>
    </row>
    <row r="936" ht="25.5" customHeight="1">
      <c r="A936" s="4" t="s">
        <v>1648</v>
      </c>
      <c r="B936" s="8"/>
      <c r="C936" s="6" t="s">
        <v>1649</v>
      </c>
      <c r="D936" s="12">
        <f>AVERAGE(D983,D953,D906,D970,D1875,D1901)</f>
        <v>9.170731481</v>
      </c>
    </row>
    <row r="937" ht="25.5" customHeight="1">
      <c r="A937" s="4" t="s">
        <v>1650</v>
      </c>
      <c r="B937" s="8"/>
      <c r="C937" s="6" t="s">
        <v>267</v>
      </c>
      <c r="D937" s="12">
        <f>AVERAGE(D914,D996)</f>
        <v>4.669</v>
      </c>
    </row>
    <row r="938" ht="25.5" customHeight="1">
      <c r="A938" s="4" t="s">
        <v>1651</v>
      </c>
      <c r="B938" s="8"/>
      <c r="C938" s="6" t="s">
        <v>1652</v>
      </c>
      <c r="D938" s="12">
        <f>AVERAGE(D993,D919)</f>
        <v>22.64375</v>
      </c>
    </row>
    <row r="939" ht="25.5" customHeight="1">
      <c r="A939" s="4" t="s">
        <v>1653</v>
      </c>
      <c r="B939" s="8"/>
      <c r="C939" s="6" t="s">
        <v>1654</v>
      </c>
      <c r="D939" s="12">
        <f>AVERAGE(D987,D978)</f>
        <v>11.81375</v>
      </c>
    </row>
    <row r="940" ht="25.5" customHeight="1">
      <c r="A940" s="4" t="s">
        <v>1655</v>
      </c>
      <c r="B940" s="8"/>
      <c r="C940" s="6" t="s">
        <v>559</v>
      </c>
      <c r="D940" s="12">
        <f>AVERAGE(D895,D967)</f>
        <v>11.15410833</v>
      </c>
    </row>
    <row r="941" ht="25.5" customHeight="1">
      <c r="A941" s="4" t="s">
        <v>1656</v>
      </c>
      <c r="B941" s="8"/>
      <c r="C941" s="6" t="s">
        <v>1657</v>
      </c>
      <c r="D941" s="12">
        <f>D2152</f>
        <v>9.5893</v>
      </c>
    </row>
    <row r="942" ht="25.5" customHeight="1">
      <c r="A942" s="4" t="s">
        <v>1658</v>
      </c>
      <c r="B942" s="8"/>
      <c r="C942" s="6" t="s">
        <v>1659</v>
      </c>
      <c r="D942" s="12">
        <f>D923</f>
        <v>20.668</v>
      </c>
    </row>
    <row r="943" ht="25.5" customHeight="1">
      <c r="A943" s="4" t="s">
        <v>1660</v>
      </c>
      <c r="B943" s="8"/>
      <c r="C943" s="6" t="s">
        <v>1661</v>
      </c>
      <c r="D943" s="12">
        <f>AVERAGE(D914,D996)</f>
        <v>4.669</v>
      </c>
    </row>
    <row r="944" ht="25.5" customHeight="1">
      <c r="A944" s="4" t="s">
        <v>1662</v>
      </c>
      <c r="B944" s="8"/>
      <c r="C944" s="6" t="s">
        <v>273</v>
      </c>
      <c r="D944" s="12">
        <f>AVERAGE(D976,D918,D975)</f>
        <v>7.12</v>
      </c>
    </row>
    <row r="945" ht="25.5" customHeight="1">
      <c r="A945" s="4" t="s">
        <v>1663</v>
      </c>
      <c r="B945" s="8"/>
      <c r="C945" s="6" t="s">
        <v>1140</v>
      </c>
      <c r="D945" s="12">
        <f>AVERAGE(D893,D952)</f>
        <v>8.583375</v>
      </c>
    </row>
    <row r="946" ht="25.5" customHeight="1">
      <c r="A946" s="4" t="s">
        <v>1664</v>
      </c>
      <c r="B946" s="8"/>
      <c r="C946" s="6" t="s">
        <v>277</v>
      </c>
      <c r="D946" s="12">
        <f>AVERAGE(D923,D988,D982)</f>
        <v>24.055</v>
      </c>
    </row>
    <row r="947" ht="25.5" customHeight="1">
      <c r="A947" s="4" t="s">
        <v>1665</v>
      </c>
      <c r="B947" s="8"/>
      <c r="C947" s="6" t="s">
        <v>1146</v>
      </c>
      <c r="D947" s="12">
        <f>D2575+(((D914-D2575)/20)*16)</f>
        <v>10.6584</v>
      </c>
    </row>
    <row r="948" ht="25.5" customHeight="1">
      <c r="A948" s="4" t="s">
        <v>1666</v>
      </c>
      <c r="B948" s="8"/>
      <c r="C948" s="6" t="s">
        <v>161</v>
      </c>
      <c r="D948" s="12">
        <f>AVERAGE(D912,D900,D899,D931,D950)</f>
        <v>8.471193333</v>
      </c>
    </row>
    <row r="949" ht="25.5" customHeight="1">
      <c r="A949" s="4" t="s">
        <v>1667</v>
      </c>
      <c r="B949" s="8"/>
      <c r="C949" s="6" t="s">
        <v>163</v>
      </c>
      <c r="D949" s="12">
        <f>D972</f>
        <v>6.5355</v>
      </c>
    </row>
    <row r="950" ht="25.5" customHeight="1">
      <c r="A950" s="4" t="s">
        <v>1668</v>
      </c>
      <c r="B950" s="8"/>
      <c r="C950" s="6" t="s">
        <v>1669</v>
      </c>
      <c r="D950" s="12">
        <f>D976+(((D978-D976)/3)*1)</f>
        <v>6.371566667</v>
      </c>
    </row>
    <row r="951" ht="25.5" customHeight="1">
      <c r="A951" s="4" t="s">
        <v>1670</v>
      </c>
      <c r="B951" s="8"/>
      <c r="C951" s="6" t="s">
        <v>1671</v>
      </c>
      <c r="D951" s="12">
        <f>AVERAGE(D920,D926,D932,D2138)</f>
        <v>18.65537217</v>
      </c>
    </row>
    <row r="952" ht="25.5" customHeight="1">
      <c r="A952" s="4" t="s">
        <v>1672</v>
      </c>
      <c r="B952" s="8"/>
      <c r="C952" s="6" t="s">
        <v>1513</v>
      </c>
      <c r="D952" s="12">
        <f>AVERAGE(D921,D937)</f>
        <v>7.16855</v>
      </c>
    </row>
    <row r="953" ht="25.5" customHeight="1">
      <c r="A953" s="4" t="s">
        <v>1673</v>
      </c>
      <c r="B953" s="8"/>
      <c r="C953" s="6" t="s">
        <v>945</v>
      </c>
      <c r="D953" s="12">
        <f>AVERAGE(D963,D944,D962)</f>
        <v>7.275694444</v>
      </c>
    </row>
    <row r="954" ht="25.5" customHeight="1">
      <c r="A954" s="4" t="s">
        <v>1674</v>
      </c>
      <c r="B954" s="8"/>
      <c r="C954" s="6" t="s">
        <v>169</v>
      </c>
      <c r="D954" s="12">
        <f>AVERAGE(D916,D941,D2187,D2208)</f>
        <v>10.61079167</v>
      </c>
    </row>
    <row r="955" ht="25.5" customHeight="1">
      <c r="A955" s="4" t="s">
        <v>1675</v>
      </c>
      <c r="B955" s="8"/>
      <c r="C955" s="6" t="s">
        <v>1676</v>
      </c>
      <c r="D955" s="12">
        <f>AVERAGE(D912,D922,D990,D947,D900)</f>
        <v>7.877013333</v>
      </c>
    </row>
    <row r="956" ht="25.5" customHeight="1">
      <c r="A956" s="4" t="s">
        <v>1677</v>
      </c>
      <c r="B956" s="8"/>
      <c r="C956" s="6" t="s">
        <v>1678</v>
      </c>
      <c r="D956" s="12">
        <f>D251</f>
        <v>29.30676923</v>
      </c>
    </row>
    <row r="957" ht="25.5" customHeight="1">
      <c r="A957" s="4" t="s">
        <v>1679</v>
      </c>
      <c r="B957" s="8"/>
      <c r="C957" s="6" t="s">
        <v>1680</v>
      </c>
      <c r="D957" s="12">
        <f>AVERAGE(D949,D966,D934,D1884)</f>
        <v>6.986788889</v>
      </c>
    </row>
    <row r="958" ht="25.5" customHeight="1">
      <c r="A958" s="4" t="s">
        <v>1681</v>
      </c>
      <c r="B958" s="8"/>
      <c r="C958" s="6" t="s">
        <v>1682</v>
      </c>
      <c r="D958" s="12">
        <f>D941</f>
        <v>9.5893</v>
      </c>
    </row>
    <row r="959" ht="25.5" customHeight="1">
      <c r="A959" s="4" t="s">
        <v>1683</v>
      </c>
      <c r="B959" s="8"/>
      <c r="C959" s="6" t="s">
        <v>1684</v>
      </c>
      <c r="D959" s="12">
        <f>AVERAGE(D989,D923)</f>
        <v>18.9745</v>
      </c>
    </row>
    <row r="960" ht="25.5" customHeight="1">
      <c r="A960" s="4" t="s">
        <v>1685</v>
      </c>
      <c r="B960" s="8"/>
      <c r="C960" s="6" t="s">
        <v>1686</v>
      </c>
      <c r="D960" s="12">
        <f>D924</f>
        <v>17.281</v>
      </c>
    </row>
    <row r="961" ht="25.5" customHeight="1">
      <c r="A961" s="4" t="s">
        <v>1687</v>
      </c>
      <c r="B961" s="8"/>
      <c r="C961" s="6" t="s">
        <v>1688</v>
      </c>
      <c r="D961" s="12">
        <f>D2575+(((D914-D2575)/20)*18)</f>
        <v>9.9982</v>
      </c>
    </row>
    <row r="962" ht="25.5" customHeight="1">
      <c r="A962" s="4" t="s">
        <v>1689</v>
      </c>
      <c r="B962" s="8"/>
      <c r="C962" s="6" t="s">
        <v>1690</v>
      </c>
      <c r="D962" s="12">
        <f>D975</f>
        <v>10.507</v>
      </c>
    </row>
    <row r="963" ht="25.5" customHeight="1">
      <c r="A963" s="4" t="s">
        <v>1691</v>
      </c>
      <c r="B963" s="8"/>
      <c r="C963" s="6" t="s">
        <v>1692</v>
      </c>
      <c r="D963" s="12">
        <f>AVERAGE(D976,D912)</f>
        <v>4.200083333</v>
      </c>
    </row>
    <row r="964" ht="25.5" customHeight="1">
      <c r="A964" s="4" t="s">
        <v>1693</v>
      </c>
      <c r="B964" s="8"/>
      <c r="C964" s="6" t="s">
        <v>1694</v>
      </c>
      <c r="D964" s="12">
        <f>AVERAGE(D896,D974,D959)</f>
        <v>13.894</v>
      </c>
    </row>
    <row r="965" ht="25.5" customHeight="1">
      <c r="A965" s="4" t="s">
        <v>1695</v>
      </c>
      <c r="B965" s="8"/>
      <c r="C965" s="6" t="s">
        <v>296</v>
      </c>
      <c r="D965" s="12">
        <f>D973</f>
        <v>13.894</v>
      </c>
    </row>
    <row r="966" ht="25.5" customHeight="1">
      <c r="A966" s="4" t="s">
        <v>1696</v>
      </c>
      <c r="B966" s="8"/>
      <c r="C966" s="6" t="s">
        <v>1697</v>
      </c>
      <c r="D966" s="12">
        <f>AVERAGE(D972,D990,D980)</f>
        <v>7.469666667</v>
      </c>
    </row>
    <row r="967" ht="25.5" customHeight="1">
      <c r="A967" s="4" t="s">
        <v>1698</v>
      </c>
      <c r="B967" s="8"/>
      <c r="C967" s="6" t="s">
        <v>1699</v>
      </c>
      <c r="D967" s="12">
        <f>AVERAGE(D939,D969)</f>
        <v>10.41194167</v>
      </c>
    </row>
    <row r="968" ht="25.5" customHeight="1">
      <c r="A968" s="4" t="s">
        <v>1700</v>
      </c>
      <c r="B968" s="8"/>
      <c r="C968" s="6" t="s">
        <v>1701</v>
      </c>
      <c r="D968" s="12">
        <f>D988</f>
        <v>24.055</v>
      </c>
    </row>
    <row r="969" ht="25.5" customHeight="1">
      <c r="A969" s="4" t="s">
        <v>1702</v>
      </c>
      <c r="B969" s="8"/>
      <c r="C969" s="6" t="s">
        <v>1703</v>
      </c>
      <c r="D969" s="12">
        <f>AVERAGE(D978,D931,D950)</f>
        <v>9.010133333</v>
      </c>
    </row>
    <row r="970" ht="25.5" customHeight="1">
      <c r="A970" s="4" t="s">
        <v>1704</v>
      </c>
      <c r="B970" s="8"/>
      <c r="C970" s="6" t="s">
        <v>1705</v>
      </c>
      <c r="D970" s="12">
        <f>D992</f>
        <v>6.5355</v>
      </c>
    </row>
    <row r="971" ht="25.5" customHeight="1">
      <c r="A971" s="4" t="s">
        <v>1706</v>
      </c>
      <c r="B971" s="8"/>
      <c r="C971" s="6" t="s">
        <v>1707</v>
      </c>
      <c r="D971" s="12">
        <f>AVERAGE(D950,D918)</f>
        <v>6.745783333</v>
      </c>
    </row>
    <row r="972" ht="25.5" customHeight="1">
      <c r="A972" s="4" t="s">
        <v>1708</v>
      </c>
      <c r="B972" s="8"/>
      <c r="C972" s="6" t="s">
        <v>1709</v>
      </c>
      <c r="D972" s="12">
        <f>D976+(((D914-D976)/6)*3)</f>
        <v>6.5355</v>
      </c>
    </row>
    <row r="973" ht="25.5" customHeight="1">
      <c r="A973" s="4" t="s">
        <v>1710</v>
      </c>
      <c r="B973" s="8"/>
      <c r="C973" s="6" t="s">
        <v>1711</v>
      </c>
      <c r="D973" s="12">
        <f>D917</f>
        <v>13.894</v>
      </c>
    </row>
    <row r="974" ht="25.5" customHeight="1">
      <c r="A974" s="4" t="s">
        <v>1712</v>
      </c>
      <c r="B974" s="8"/>
      <c r="C974" s="6" t="s">
        <v>1540</v>
      </c>
      <c r="D974" s="12">
        <f>D917</f>
        <v>13.894</v>
      </c>
    </row>
    <row r="975" ht="25.5" customHeight="1">
      <c r="A975" s="4" t="s">
        <v>1713</v>
      </c>
      <c r="B975" s="8"/>
      <c r="C975" s="6" t="s">
        <v>181</v>
      </c>
      <c r="D975" s="7">
        <f>D249+(((D976-D249)/11)*9)</f>
        <v>10.507</v>
      </c>
    </row>
    <row r="976" ht="25.5" customHeight="1">
      <c r="A976" s="4" t="s">
        <v>1714</v>
      </c>
      <c r="B976" s="8"/>
      <c r="C976" s="9" t="s">
        <v>310</v>
      </c>
      <c r="D976" s="12">
        <v>3.733</v>
      </c>
      <c r="E976" s="10" t="s">
        <v>1715</v>
      </c>
    </row>
    <row r="977" ht="25.5" customHeight="1">
      <c r="A977" s="4" t="s">
        <v>1716</v>
      </c>
      <c r="B977" s="8"/>
      <c r="C977" s="6" t="s">
        <v>312</v>
      </c>
      <c r="D977" s="12">
        <f>D923</f>
        <v>20.668</v>
      </c>
    </row>
    <row r="978" ht="25.5" customHeight="1">
      <c r="A978" s="4" t="s">
        <v>1717</v>
      </c>
      <c r="B978" s="8"/>
      <c r="C978" s="6" t="s">
        <v>608</v>
      </c>
      <c r="D978" s="12">
        <f>D2575+(((D914-D2575)/20)*13)</f>
        <v>11.6487</v>
      </c>
    </row>
    <row r="979" ht="25.5" customHeight="1">
      <c r="A979" s="4" t="s">
        <v>1718</v>
      </c>
      <c r="B979" s="8"/>
      <c r="C979" s="6" t="s">
        <v>1719</v>
      </c>
      <c r="D979" s="12">
        <f>AVERAGE(D932,D986,D2204,D2138)</f>
        <v>21.4222355</v>
      </c>
    </row>
    <row r="980" ht="25.5" customHeight="1">
      <c r="A980" s="4" t="s">
        <v>1720</v>
      </c>
      <c r="B980" s="8"/>
      <c r="C980" s="6" t="s">
        <v>1721</v>
      </c>
      <c r="D980" s="12">
        <f>D976+(((D914-D976)/6)*5)</f>
        <v>8.403833333</v>
      </c>
    </row>
    <row r="981" ht="25.5" customHeight="1">
      <c r="A981" s="4" t="s">
        <v>1722</v>
      </c>
      <c r="B981" s="8"/>
      <c r="C981" s="6" t="s">
        <v>1723</v>
      </c>
      <c r="D981" s="12">
        <f>AVERAGE(D988,D923)</f>
        <v>22.3615</v>
      </c>
    </row>
    <row r="982" ht="25.5" customHeight="1">
      <c r="A982" s="4" t="s">
        <v>1724</v>
      </c>
      <c r="B982" s="8"/>
      <c r="C982" s="6" t="s">
        <v>1725</v>
      </c>
      <c r="D982" s="7">
        <f>D249+(((D976-D249)/11)*4)</f>
        <v>27.442</v>
      </c>
    </row>
    <row r="983" ht="25.5" customHeight="1">
      <c r="A983" s="4" t="s">
        <v>1726</v>
      </c>
      <c r="B983" s="8"/>
      <c r="C983" s="6" t="s">
        <v>1727</v>
      </c>
      <c r="D983" s="12">
        <f>D962</f>
        <v>10.507</v>
      </c>
    </row>
    <row r="984" ht="25.5" customHeight="1">
      <c r="A984" s="4" t="s">
        <v>1728</v>
      </c>
      <c r="B984" s="8"/>
      <c r="C984" s="6" t="s">
        <v>1729</v>
      </c>
      <c r="D984" s="12">
        <f>AVERAGE(D969,D971,D896)</f>
        <v>8.189805556</v>
      </c>
    </row>
    <row r="985" ht="25.5" customHeight="1">
      <c r="A985" s="4" t="s">
        <v>1730</v>
      </c>
      <c r="B985" s="8"/>
      <c r="C985" s="6" t="s">
        <v>1731</v>
      </c>
      <c r="D985" s="12">
        <f>D251</f>
        <v>29.30676923</v>
      </c>
    </row>
    <row r="986" ht="25.5" customHeight="1">
      <c r="A986" s="4" t="s">
        <v>1732</v>
      </c>
      <c r="B986" s="8"/>
      <c r="C986" s="6" t="s">
        <v>1733</v>
      </c>
      <c r="D986" s="12">
        <f>D956</f>
        <v>29.30676923</v>
      </c>
    </row>
    <row r="987" ht="25.5" customHeight="1">
      <c r="A987" s="4" t="s">
        <v>1734</v>
      </c>
      <c r="B987" s="8"/>
      <c r="C987" s="6" t="s">
        <v>1735</v>
      </c>
      <c r="D987" s="12">
        <f>D2575+(((D914-D2575)/20)*12)</f>
        <v>11.9788</v>
      </c>
    </row>
    <row r="988" ht="25.5" customHeight="1">
      <c r="A988" s="4" t="s">
        <v>1736</v>
      </c>
      <c r="B988" s="8"/>
      <c r="C988" s="6" t="s">
        <v>1002</v>
      </c>
      <c r="D988" s="7">
        <f>D249+(((D976-D249)/11)*5)</f>
        <v>24.055</v>
      </c>
    </row>
    <row r="989" ht="25.5" customHeight="1">
      <c r="A989" s="4" t="s">
        <v>1737</v>
      </c>
      <c r="B989" s="8"/>
      <c r="C989" s="6" t="s">
        <v>1738</v>
      </c>
      <c r="D989" s="7">
        <f>D249+(((D976-D249)/11)*7)</f>
        <v>17.281</v>
      </c>
    </row>
    <row r="990" ht="25.5" customHeight="1">
      <c r="A990" s="4" t="s">
        <v>1739</v>
      </c>
      <c r="B990" s="8"/>
      <c r="C990" s="6" t="s">
        <v>1740</v>
      </c>
      <c r="D990" s="12">
        <f>D976+(((D914-D976)/6)*4)</f>
        <v>7.469666667</v>
      </c>
    </row>
    <row r="991" ht="25.5" customHeight="1">
      <c r="A991" s="4" t="s">
        <v>1741</v>
      </c>
      <c r="B991" s="8"/>
      <c r="C991" s="6" t="s">
        <v>1742</v>
      </c>
      <c r="D991" s="12">
        <f>AVERAGE(D982,D279)</f>
        <v>29.1355</v>
      </c>
    </row>
    <row r="992" ht="25.5" customHeight="1">
      <c r="A992" s="4" t="s">
        <v>1743</v>
      </c>
      <c r="B992" s="8"/>
      <c r="C992" s="6" t="s">
        <v>197</v>
      </c>
      <c r="D992" s="12">
        <f>D972</f>
        <v>6.5355</v>
      </c>
    </row>
    <row r="993" ht="25.5" customHeight="1">
      <c r="A993" s="4" t="s">
        <v>1744</v>
      </c>
      <c r="B993" s="8"/>
      <c r="C993" s="6" t="s">
        <v>1745</v>
      </c>
      <c r="D993" s="12">
        <f>AVERAGE(D977,D946,D991)</f>
        <v>24.6195</v>
      </c>
    </row>
    <row r="994" ht="25.5" customHeight="1">
      <c r="A994" s="4" t="s">
        <v>1746</v>
      </c>
      <c r="B994" s="8"/>
      <c r="C994" s="6" t="s">
        <v>1747</v>
      </c>
      <c r="D994" s="12">
        <f>AVERAGE(D916,D928,D995)</f>
        <v>10.82345</v>
      </c>
    </row>
    <row r="995" ht="25.5" customHeight="1">
      <c r="A995" s="4" t="s">
        <v>1748</v>
      </c>
      <c r="B995" s="8"/>
      <c r="C995" s="6" t="s">
        <v>1749</v>
      </c>
      <c r="D995" s="12">
        <f>D907</f>
        <v>10.3283</v>
      </c>
    </row>
    <row r="996" ht="25.5" customHeight="1">
      <c r="A996" s="4" t="s">
        <v>1750</v>
      </c>
      <c r="B996" s="11"/>
      <c r="C996" s="9" t="s">
        <v>1751</v>
      </c>
      <c r="D996" s="12">
        <v>0.0</v>
      </c>
      <c r="E996" s="10" t="s">
        <v>1752</v>
      </c>
    </row>
    <row r="997" ht="25.5" customHeight="1">
      <c r="A997" s="4" t="s">
        <v>1753</v>
      </c>
      <c r="B997" s="5" t="s">
        <v>1754</v>
      </c>
      <c r="C997" s="6" t="s">
        <v>1057</v>
      </c>
      <c r="D997" s="12">
        <f>AVERAGE(D1105,D1040,D1081)</f>
        <v>10.12</v>
      </c>
    </row>
    <row r="998" ht="25.5" customHeight="1">
      <c r="A998" s="4" t="s">
        <v>1755</v>
      </c>
      <c r="B998" s="8"/>
      <c r="C998" s="6" t="s">
        <v>1445</v>
      </c>
      <c r="D998" s="12">
        <f>AVERAGE(D1001,D1110,D1103,D2514)</f>
        <v>20.7</v>
      </c>
    </row>
    <row r="999" ht="25.5" customHeight="1">
      <c r="A999" s="4" t="s">
        <v>1756</v>
      </c>
      <c r="B999" s="8"/>
      <c r="C999" s="6" t="s">
        <v>1581</v>
      </c>
      <c r="D999" s="12">
        <f>AVERAGE(D1116,D1033,D1102)</f>
        <v>2.762931034</v>
      </c>
    </row>
    <row r="1000" ht="25.5" customHeight="1">
      <c r="A1000" s="4" t="s">
        <v>1757</v>
      </c>
      <c r="B1000" s="8"/>
      <c r="C1000" s="6" t="s">
        <v>1758</v>
      </c>
      <c r="D1000" s="12">
        <f>AVERAGE(D1075,D774,D699,D1471)</f>
        <v>2.472355263</v>
      </c>
    </row>
    <row r="1001" ht="25.5" customHeight="1">
      <c r="A1001" s="4" t="s">
        <v>1759</v>
      </c>
      <c r="B1001" s="8"/>
      <c r="C1001" s="6" t="s">
        <v>1760</v>
      </c>
      <c r="D1001" s="12">
        <f>D1052+(((D68-D1052)/19)*5)</f>
        <v>13.8</v>
      </c>
    </row>
    <row r="1002" ht="25.5" customHeight="1">
      <c r="A1002" s="4" t="s">
        <v>1761</v>
      </c>
      <c r="B1002" s="8"/>
      <c r="C1002" s="6" t="s">
        <v>1762</v>
      </c>
      <c r="D1002" s="12">
        <f>D1030+(((D3087-D1030)/10)*3)</f>
        <v>8.336881609</v>
      </c>
    </row>
    <row r="1003" ht="25.5" customHeight="1">
      <c r="A1003" s="4" t="s">
        <v>1763</v>
      </c>
      <c r="B1003" s="8"/>
      <c r="C1003" s="6" t="s">
        <v>1764</v>
      </c>
      <c r="D1003" s="12">
        <f>D1114</f>
        <v>6.077068966</v>
      </c>
    </row>
    <row r="1004" ht="25.5" customHeight="1">
      <c r="A1004" s="4" t="s">
        <v>1765</v>
      </c>
      <c r="B1004" s="8"/>
      <c r="C1004" s="6" t="s">
        <v>212</v>
      </c>
      <c r="D1004" s="12">
        <f>D1316+(((D2464-D1316)/29)*14)</f>
        <v>5.30537931</v>
      </c>
    </row>
    <row r="1005" ht="25.5" customHeight="1">
      <c r="A1005" s="4" t="s">
        <v>1766</v>
      </c>
      <c r="B1005" s="8"/>
      <c r="C1005" s="6" t="s">
        <v>1589</v>
      </c>
      <c r="D1005" s="12">
        <f>AVERAGE(D1101,D1030,D1021,D1083)</f>
        <v>6.283737644</v>
      </c>
    </row>
    <row r="1006" ht="25.5" customHeight="1">
      <c r="A1006" s="4" t="s">
        <v>1767</v>
      </c>
      <c r="B1006" s="8"/>
      <c r="C1006" s="6" t="s">
        <v>1768</v>
      </c>
      <c r="D1006" s="12">
        <f>D1030+(((D3087-D1030)/10)*6)</f>
        <v>11.03765977</v>
      </c>
    </row>
    <row r="1007" ht="25.5" customHeight="1">
      <c r="A1007" s="4" t="s">
        <v>1769</v>
      </c>
      <c r="B1007" s="8"/>
      <c r="C1007" s="6" t="s">
        <v>1770</v>
      </c>
      <c r="D1007" s="12">
        <f>AVERAGE(D1080,D1036,D1065,D1071)</f>
        <v>6.020612069</v>
      </c>
    </row>
    <row r="1008" ht="25.5" customHeight="1">
      <c r="A1008" s="4" t="s">
        <v>1771</v>
      </c>
      <c r="B1008" s="8"/>
      <c r="C1008" s="6" t="s">
        <v>1772</v>
      </c>
      <c r="D1008" s="12">
        <f>D2059</f>
        <v>5.084896552</v>
      </c>
    </row>
    <row r="1009" ht="25.5" customHeight="1">
      <c r="A1009" s="4" t="s">
        <v>1773</v>
      </c>
      <c r="B1009" s="8"/>
      <c r="C1009" s="6" t="s">
        <v>1774</v>
      </c>
      <c r="D1009" s="12">
        <f>AVERAGE(D1091,D1061,D1115,D1070)</f>
        <v>7.369260026</v>
      </c>
    </row>
    <row r="1010" ht="25.5" customHeight="1">
      <c r="A1010" s="4" t="s">
        <v>1775</v>
      </c>
      <c r="B1010" s="8"/>
      <c r="C1010" s="6" t="s">
        <v>1776</v>
      </c>
      <c r="D1010" s="12">
        <f>AVERAGE(D1043,D861)</f>
        <v>5.010902105</v>
      </c>
    </row>
    <row r="1011" ht="25.5" customHeight="1">
      <c r="A1011" s="4" t="s">
        <v>1777</v>
      </c>
      <c r="B1011" s="8"/>
      <c r="C1011" s="6" t="s">
        <v>1778</v>
      </c>
      <c r="D1011" s="12">
        <f>D1052+(((D68-D1052)/19)*1)</f>
        <v>2.76</v>
      </c>
    </row>
    <row r="1012" ht="25.5" customHeight="1">
      <c r="A1012" s="4" t="s">
        <v>1779</v>
      </c>
      <c r="B1012" s="8"/>
      <c r="C1012" s="6" t="s">
        <v>80</v>
      </c>
      <c r="D1012" s="12">
        <f>AVERAGE(D1110,D1027)</f>
        <v>17.94</v>
      </c>
    </row>
    <row r="1013" ht="25.5" customHeight="1">
      <c r="A1013" s="4" t="s">
        <v>1780</v>
      </c>
      <c r="B1013" s="8"/>
      <c r="C1013" s="6" t="s">
        <v>1781</v>
      </c>
      <c r="D1013" s="12">
        <f>AVERAGE(D1068,D1107,D1020)</f>
        <v>18.82954737</v>
      </c>
    </row>
    <row r="1014" ht="25.5" customHeight="1">
      <c r="A1014" s="4" t="s">
        <v>1782</v>
      </c>
      <c r="B1014" s="8"/>
      <c r="C1014" s="6" t="s">
        <v>1783</v>
      </c>
      <c r="D1014" s="12">
        <f>AVERAGE(D1107,D1072)</f>
        <v>14.44432105</v>
      </c>
    </row>
    <row r="1015" ht="25.5" customHeight="1">
      <c r="A1015" s="4" t="s">
        <v>1784</v>
      </c>
      <c r="B1015" s="8"/>
      <c r="C1015" s="6" t="s">
        <v>1785</v>
      </c>
      <c r="D1015" s="12">
        <f>AVERAGE(D1055,D2077)</f>
        <v>5.140017241</v>
      </c>
    </row>
    <row r="1016" ht="25.5" customHeight="1">
      <c r="A1016" s="4" t="s">
        <v>1786</v>
      </c>
      <c r="B1016" s="8"/>
      <c r="C1016" s="6" t="s">
        <v>1787</v>
      </c>
      <c r="D1016" s="12">
        <f>D1471</f>
        <v>0.7943684211</v>
      </c>
    </row>
    <row r="1017" ht="25.5" customHeight="1">
      <c r="A1017" s="4" t="s">
        <v>1788</v>
      </c>
      <c r="B1017" s="8"/>
      <c r="C1017" s="6" t="s">
        <v>218</v>
      </c>
      <c r="D1017" s="12">
        <f>D1089+(((D1004-D1089)/4)*2)</f>
        <v>5.512689655</v>
      </c>
    </row>
    <row r="1018" ht="25.5" customHeight="1">
      <c r="A1018" s="4" t="s">
        <v>1789</v>
      </c>
      <c r="B1018" s="8"/>
      <c r="C1018" s="6" t="s">
        <v>1790</v>
      </c>
      <c r="D1018" s="12">
        <f>D1030+(((D3087-D1030)/10)*5)</f>
        <v>10.13740038</v>
      </c>
    </row>
    <row r="1019" ht="25.5" customHeight="1">
      <c r="A1019" s="4" t="s">
        <v>1791</v>
      </c>
      <c r="B1019" s="8"/>
      <c r="C1019" s="6" t="s">
        <v>1792</v>
      </c>
      <c r="D1019" s="12">
        <f>AVERAGE(D1105,D1071,D1065,D1096)</f>
        <v>7.082073276</v>
      </c>
    </row>
    <row r="1020" ht="25.5" customHeight="1">
      <c r="A1020" s="4" t="s">
        <v>1793</v>
      </c>
      <c r="B1020" s="8"/>
      <c r="C1020" s="6" t="s">
        <v>1306</v>
      </c>
      <c r="D1020" s="7">
        <f>D742+(((D2442-D742)/9)*7)</f>
        <v>21.75303158</v>
      </c>
    </row>
    <row r="1021" ht="25.5" customHeight="1">
      <c r="A1021" s="4" t="s">
        <v>1794</v>
      </c>
      <c r="B1021" s="8"/>
      <c r="C1021" s="6" t="s">
        <v>222</v>
      </c>
      <c r="D1021" s="12">
        <f>D1030+(((D3087-D1030)/10)*1)</f>
        <v>6.536362835</v>
      </c>
    </row>
    <row r="1022" ht="25.5" customHeight="1">
      <c r="A1022" s="4" t="s">
        <v>1795</v>
      </c>
      <c r="B1022" s="8"/>
      <c r="C1022" s="6" t="s">
        <v>94</v>
      </c>
      <c r="D1022" s="12">
        <f>D1059</f>
        <v>5.966827586</v>
      </c>
    </row>
    <row r="1023" ht="25.5" customHeight="1">
      <c r="A1023" s="4" t="s">
        <v>1796</v>
      </c>
      <c r="B1023" s="8"/>
      <c r="C1023" s="6" t="s">
        <v>1091</v>
      </c>
      <c r="D1023" s="12">
        <f>AVERAGE(D1025,D1100,D1112,D2500)</f>
        <v>9.516257423</v>
      </c>
    </row>
    <row r="1024" ht="25.5" customHeight="1">
      <c r="A1024" s="4" t="s">
        <v>1797</v>
      </c>
      <c r="B1024" s="8"/>
      <c r="C1024" s="6" t="s">
        <v>236</v>
      </c>
      <c r="D1024" s="12">
        <f>AVERAGE(D1066,D1068)</f>
        <v>14.44432105</v>
      </c>
    </row>
    <row r="1025" ht="25.5" customHeight="1">
      <c r="A1025" s="4" t="s">
        <v>1798</v>
      </c>
      <c r="B1025" s="8"/>
      <c r="C1025" s="6" t="s">
        <v>1315</v>
      </c>
      <c r="D1025" s="12">
        <f>AVERAGE(D1081,D1082)</f>
        <v>13.11</v>
      </c>
    </row>
    <row r="1026" ht="25.5" customHeight="1">
      <c r="A1026" s="4" t="s">
        <v>1799</v>
      </c>
      <c r="B1026" s="8"/>
      <c r="C1026" s="6" t="s">
        <v>1461</v>
      </c>
      <c r="D1026" s="12">
        <f>D872</f>
        <v>4.095738947</v>
      </c>
    </row>
    <row r="1027" ht="25.5" customHeight="1">
      <c r="A1027" s="4" t="s">
        <v>1800</v>
      </c>
      <c r="B1027" s="8"/>
      <c r="C1027" s="6" t="s">
        <v>1801</v>
      </c>
      <c r="D1027" s="12">
        <f>D1052+(((D68-D1052)/19)*6)</f>
        <v>16.56</v>
      </c>
    </row>
    <row r="1028" ht="25.5" customHeight="1">
      <c r="A1028" s="4" t="s">
        <v>1802</v>
      </c>
      <c r="B1028" s="8"/>
      <c r="C1028" s="6" t="s">
        <v>1803</v>
      </c>
      <c r="D1028" s="12">
        <f>AVERAGE(D1018,D1099)</f>
        <v>9.68727069</v>
      </c>
    </row>
    <row r="1029" ht="25.5" customHeight="1">
      <c r="A1029" s="4" t="s">
        <v>1804</v>
      </c>
      <c r="B1029" s="8"/>
      <c r="C1029" s="6" t="s">
        <v>1805</v>
      </c>
      <c r="D1029" s="12">
        <f>AVERAGE(D1021,D1069)</f>
        <v>6.141353831</v>
      </c>
    </row>
    <row r="1030" ht="25.5" customHeight="1">
      <c r="A1030" s="4" t="s">
        <v>1806</v>
      </c>
      <c r="B1030" s="8"/>
      <c r="C1030" s="6" t="s">
        <v>124</v>
      </c>
      <c r="D1030" s="12">
        <f>D1316+(((D2464-D1316)/29)*17)</f>
        <v>5.636103448</v>
      </c>
    </row>
    <row r="1031" ht="25.5" customHeight="1">
      <c r="A1031" s="4" t="s">
        <v>1807</v>
      </c>
      <c r="B1031" s="8"/>
      <c r="C1031" s="6" t="s">
        <v>1808</v>
      </c>
      <c r="D1031" s="12">
        <f>AVERAGE(D1002,D1099)</f>
        <v>8.787011303</v>
      </c>
    </row>
    <row r="1032" ht="25.5" customHeight="1">
      <c r="A1032" s="4" t="s">
        <v>1809</v>
      </c>
      <c r="B1032" s="8"/>
      <c r="C1032" s="6" t="s">
        <v>872</v>
      </c>
      <c r="D1032" s="12">
        <f>AVERAGE(D1070,D1054,D1094)</f>
        <v>10.63754449</v>
      </c>
    </row>
    <row r="1033" ht="25.5" customHeight="1">
      <c r="A1033" s="4" t="s">
        <v>1810</v>
      </c>
      <c r="B1033" s="8"/>
      <c r="C1033" s="6" t="s">
        <v>126</v>
      </c>
      <c r="D1033" s="12">
        <f>D1052+(((D1101-D1052)/4)*2)</f>
        <v>2.762931034</v>
      </c>
    </row>
    <row r="1034" ht="25.5" customHeight="1">
      <c r="A1034" s="4" t="s">
        <v>1811</v>
      </c>
      <c r="B1034" s="8"/>
      <c r="C1034" s="6" t="s">
        <v>248</v>
      </c>
      <c r="D1034" s="12">
        <f>D1476</f>
        <v>0.6708</v>
      </c>
    </row>
    <row r="1035" ht="25.5" customHeight="1">
      <c r="A1035" s="4" t="s">
        <v>1812</v>
      </c>
      <c r="B1035" s="8"/>
      <c r="C1035" s="6" t="s">
        <v>1336</v>
      </c>
      <c r="D1035" s="12">
        <f>D1089+(((D1004-D1089)/4)*3)</f>
        <v>5.409034483</v>
      </c>
    </row>
    <row r="1036" ht="25.5" customHeight="1">
      <c r="A1036" s="4" t="s">
        <v>1813</v>
      </c>
      <c r="B1036" s="8"/>
      <c r="C1036" s="6" t="s">
        <v>1814</v>
      </c>
      <c r="D1036" s="12">
        <f>AVERAGE(D1098,D1069)</f>
        <v>5.801465517</v>
      </c>
    </row>
    <row r="1037" ht="25.5" customHeight="1">
      <c r="A1037" s="4" t="s">
        <v>1815</v>
      </c>
      <c r="B1037" s="8"/>
      <c r="C1037" s="6" t="s">
        <v>252</v>
      </c>
      <c r="D1037" s="12">
        <f>D1316+(((D2464-D1316)/29)*15)</f>
        <v>5.41562069</v>
      </c>
    </row>
    <row r="1038" ht="25.5" customHeight="1">
      <c r="A1038" s="4" t="s">
        <v>1816</v>
      </c>
      <c r="B1038" s="8"/>
      <c r="C1038" s="6" t="s">
        <v>1817</v>
      </c>
      <c r="D1038" s="12">
        <f>AVERAGE(D1072,D1075)</f>
        <v>8.597352632</v>
      </c>
    </row>
    <row r="1039" ht="25.5" customHeight="1">
      <c r="A1039" s="4" t="s">
        <v>1818</v>
      </c>
      <c r="B1039" s="8"/>
      <c r="C1039" s="6" t="s">
        <v>1819</v>
      </c>
      <c r="D1039" s="12">
        <f>AVERAGE(D1027,D1046,D1043)</f>
        <v>11.04</v>
      </c>
    </row>
    <row r="1040" ht="25.5" customHeight="1">
      <c r="A1040" s="4" t="s">
        <v>1820</v>
      </c>
      <c r="B1040" s="8"/>
      <c r="C1040" s="6" t="s">
        <v>1821</v>
      </c>
      <c r="D1040" s="12">
        <f>AVERAGE(D1058,D1046)</f>
        <v>9.66</v>
      </c>
    </row>
    <row r="1041" ht="25.5" customHeight="1">
      <c r="A1041" s="4" t="s">
        <v>1822</v>
      </c>
      <c r="B1041" s="8"/>
      <c r="C1041" s="6" t="s">
        <v>1823</v>
      </c>
      <c r="D1041" s="12">
        <f>AVERAGE(D1018,D1006)</f>
        <v>10.58753008</v>
      </c>
    </row>
    <row r="1042" ht="25.5" customHeight="1">
      <c r="A1042" s="4" t="s">
        <v>1824</v>
      </c>
      <c r="B1042" s="8"/>
      <c r="C1042" s="6" t="s">
        <v>896</v>
      </c>
      <c r="D1042" s="12">
        <f>AVERAGE(D861,D872)</f>
        <v>4.298771579</v>
      </c>
    </row>
    <row r="1043" ht="25.5" customHeight="1">
      <c r="A1043" s="4" t="s">
        <v>1825</v>
      </c>
      <c r="B1043" s="8"/>
      <c r="C1043" s="6" t="s">
        <v>1119</v>
      </c>
      <c r="D1043" s="12">
        <f>D1052+(((D68-D1052)/19)*2)</f>
        <v>5.52</v>
      </c>
    </row>
    <row r="1044" ht="25.5" customHeight="1">
      <c r="A1044" s="4" t="s">
        <v>1826</v>
      </c>
      <c r="B1044" s="8"/>
      <c r="C1044" s="6" t="s">
        <v>1827</v>
      </c>
      <c r="D1044" s="12">
        <f>D1003</f>
        <v>6.077068966</v>
      </c>
    </row>
    <row r="1045" ht="25.5" customHeight="1">
      <c r="A1045" s="4" t="s">
        <v>1828</v>
      </c>
      <c r="B1045" s="8"/>
      <c r="C1045" s="6" t="s">
        <v>213</v>
      </c>
      <c r="D1045" s="12">
        <f>AVERAGE(D1037,D1101)</f>
        <v>5.470741379</v>
      </c>
    </row>
    <row r="1046" ht="25.5" customHeight="1">
      <c r="A1046" s="4" t="s">
        <v>1829</v>
      </c>
      <c r="B1046" s="8"/>
      <c r="C1046" s="6" t="s">
        <v>903</v>
      </c>
      <c r="D1046" s="12">
        <f>D1052+(((D68-D1052)/19)*4)</f>
        <v>11.04</v>
      </c>
    </row>
    <row r="1047" ht="25.5" customHeight="1">
      <c r="A1047" s="4" t="s">
        <v>1830</v>
      </c>
      <c r="B1047" s="8"/>
      <c r="C1047" s="6" t="s">
        <v>1343</v>
      </c>
      <c r="D1047" s="12">
        <f>AVERAGE(D886,D864)</f>
        <v>3.283608421</v>
      </c>
    </row>
    <row r="1048" ht="25.5" customHeight="1">
      <c r="A1048" s="4" t="s">
        <v>1831</v>
      </c>
      <c r="B1048" s="8"/>
      <c r="C1048" s="6" t="s">
        <v>134</v>
      </c>
      <c r="D1048" s="12">
        <f>D1089+(((D1004-D1089)/4)*1)</f>
        <v>5.616344828</v>
      </c>
    </row>
    <row r="1049" ht="25.5" customHeight="1">
      <c r="A1049" s="4" t="s">
        <v>1832</v>
      </c>
      <c r="B1049" s="8"/>
      <c r="C1049" s="6" t="s">
        <v>1833</v>
      </c>
      <c r="D1049" s="12">
        <f>AVERAGE(D1034,D1471)</f>
        <v>0.7325842105</v>
      </c>
    </row>
    <row r="1050" ht="25.5" customHeight="1">
      <c r="A1050" s="4" t="s">
        <v>1834</v>
      </c>
      <c r="B1050" s="8"/>
      <c r="C1050" s="6" t="s">
        <v>1835</v>
      </c>
      <c r="D1050" s="12">
        <f>D1020</f>
        <v>21.75303158</v>
      </c>
    </row>
    <row r="1051" ht="25.5" customHeight="1">
      <c r="A1051" s="4" t="s">
        <v>1836</v>
      </c>
      <c r="B1051" s="8"/>
      <c r="C1051" s="6" t="s">
        <v>138</v>
      </c>
      <c r="D1051" s="12">
        <f>AVERAGE(D1069,D1098,D1059)</f>
        <v>5.856586207</v>
      </c>
    </row>
    <row r="1052" ht="25.5" customHeight="1">
      <c r="A1052" s="4" t="s">
        <v>1837</v>
      </c>
      <c r="B1052" s="8"/>
      <c r="C1052" s="9" t="s">
        <v>140</v>
      </c>
      <c r="D1052" s="12">
        <v>0.0</v>
      </c>
      <c r="E1052" s="10" t="s">
        <v>1838</v>
      </c>
    </row>
    <row r="1053" ht="25.5" customHeight="1">
      <c r="A1053" s="4" t="s">
        <v>1839</v>
      </c>
      <c r="B1053" s="8"/>
      <c r="C1053" s="6" t="s">
        <v>1840</v>
      </c>
      <c r="D1053" s="12">
        <f>AVERAGE(D1069,D1030,D1116)</f>
        <v>5.175614943</v>
      </c>
    </row>
    <row r="1054" ht="25.5" customHeight="1">
      <c r="A1054" s="4" t="s">
        <v>1841</v>
      </c>
      <c r="B1054" s="8"/>
      <c r="C1054" s="6" t="s">
        <v>267</v>
      </c>
      <c r="D1054" s="12">
        <f>AVERAGE(D1084,D1060,D1073)</f>
        <v>10.73757331</v>
      </c>
    </row>
    <row r="1055" ht="25.5" customHeight="1">
      <c r="A1055" s="4" t="s">
        <v>1842</v>
      </c>
      <c r="B1055" s="8"/>
      <c r="C1055" s="6" t="s">
        <v>1843</v>
      </c>
      <c r="D1055" s="12">
        <f>D1316+(((D2464-D1316)/29)*13)</f>
        <v>5.195137931</v>
      </c>
    </row>
    <row r="1056" ht="25.5" customHeight="1">
      <c r="A1056" s="4" t="s">
        <v>1844</v>
      </c>
      <c r="B1056" s="8"/>
      <c r="C1056" s="6" t="s">
        <v>1845</v>
      </c>
      <c r="D1056" s="12">
        <f>AVERAGE(D1032,D1063,D1093,D1009)</f>
        <v>8.306284653</v>
      </c>
    </row>
    <row r="1057" ht="25.5" customHeight="1">
      <c r="A1057" s="4" t="s">
        <v>1846</v>
      </c>
      <c r="B1057" s="8"/>
      <c r="C1057" s="6" t="s">
        <v>1362</v>
      </c>
      <c r="D1057" s="12">
        <f>AVERAGE(D1059,D1114)</f>
        <v>6.021948276</v>
      </c>
    </row>
    <row r="1058" ht="25.5" customHeight="1">
      <c r="A1058" s="4" t="s">
        <v>1847</v>
      </c>
      <c r="B1058" s="8"/>
      <c r="C1058" s="6" t="s">
        <v>1848</v>
      </c>
      <c r="D1058" s="12">
        <f>D1052+(((D68-D1052)/19)*3)</f>
        <v>8.28</v>
      </c>
    </row>
    <row r="1059" ht="25.5" customHeight="1">
      <c r="A1059" s="4" t="s">
        <v>1849</v>
      </c>
      <c r="B1059" s="8"/>
      <c r="C1059" s="6" t="s">
        <v>1850</v>
      </c>
      <c r="D1059" s="12">
        <f>D1316+(((D2464-D1316)/29)*20)</f>
        <v>5.966827586</v>
      </c>
    </row>
    <row r="1060" ht="25.5" customHeight="1">
      <c r="A1060" s="4" t="s">
        <v>1851</v>
      </c>
      <c r="B1060" s="8"/>
      <c r="C1060" s="6" t="s">
        <v>147</v>
      </c>
      <c r="D1060" s="12">
        <f>AVERAGE(D3117,D1006,D1018)</f>
        <v>11.03765977</v>
      </c>
    </row>
    <row r="1061" ht="25.5" customHeight="1">
      <c r="A1061" s="4" t="s">
        <v>1852</v>
      </c>
      <c r="B1061" s="8"/>
      <c r="C1061" s="6" t="s">
        <v>149</v>
      </c>
      <c r="D1061" s="12">
        <f>AVERAGE(D1029)</f>
        <v>6.141353831</v>
      </c>
    </row>
    <row r="1062" ht="25.5" customHeight="1">
      <c r="A1062" s="4" t="s">
        <v>1853</v>
      </c>
      <c r="B1062" s="8"/>
      <c r="C1062" s="6" t="s">
        <v>1854</v>
      </c>
      <c r="D1062" s="12">
        <f>AVERAGE(D1003,D1022)</f>
        <v>6.021948276</v>
      </c>
    </row>
    <row r="1063" ht="25.5" customHeight="1">
      <c r="A1063" s="4" t="s">
        <v>1855</v>
      </c>
      <c r="B1063" s="8"/>
      <c r="C1063" s="6" t="s">
        <v>1856</v>
      </c>
      <c r="D1063" s="12">
        <f>AVERAGE(D1094,D1044,D2940)</f>
        <v>9.214759385</v>
      </c>
    </row>
    <row r="1064" ht="25.5" customHeight="1">
      <c r="A1064" s="4" t="s">
        <v>1857</v>
      </c>
      <c r="B1064" s="8"/>
      <c r="C1064" s="6" t="s">
        <v>1265</v>
      </c>
      <c r="D1064" s="12">
        <f>AVERAGE(D1099,D1018)</f>
        <v>9.68727069</v>
      </c>
    </row>
    <row r="1065" ht="25.5" customHeight="1">
      <c r="A1065" s="4" t="s">
        <v>1858</v>
      </c>
      <c r="B1065" s="8"/>
      <c r="C1065" s="6" t="s">
        <v>273</v>
      </c>
      <c r="D1065" s="12">
        <f>D1098</f>
        <v>5.856586207</v>
      </c>
    </row>
    <row r="1066" ht="25.5" customHeight="1">
      <c r="A1066" s="4" t="s">
        <v>1859</v>
      </c>
      <c r="B1066" s="8"/>
      <c r="C1066" s="6" t="s">
        <v>1369</v>
      </c>
      <c r="D1066" s="7">
        <f>D742+(((D2442-D742)/9)*4)</f>
        <v>12.98257895</v>
      </c>
    </row>
    <row r="1067" ht="25.5" customHeight="1">
      <c r="A1067" s="4" t="s">
        <v>1860</v>
      </c>
      <c r="B1067" s="8"/>
      <c r="C1067" s="6" t="s">
        <v>277</v>
      </c>
      <c r="D1067" s="12">
        <f>AVERAGE(D1110,D1103,D2505)</f>
        <v>22.08</v>
      </c>
    </row>
    <row r="1068" ht="25.5" customHeight="1">
      <c r="A1068" s="4" t="s">
        <v>1861</v>
      </c>
      <c r="B1068" s="8"/>
      <c r="C1068" s="6" t="s">
        <v>1146</v>
      </c>
      <c r="D1068" s="7">
        <f>D742+(((D2442-D742)/9)*5)</f>
        <v>15.90606316</v>
      </c>
    </row>
    <row r="1069" ht="25.5" customHeight="1">
      <c r="A1069" s="4" t="s">
        <v>1862</v>
      </c>
      <c r="B1069" s="8"/>
      <c r="C1069" s="6" t="s">
        <v>157</v>
      </c>
      <c r="D1069" s="12">
        <f>D1316+(((D2464-D1316)/29)*18)</f>
        <v>5.746344828</v>
      </c>
    </row>
    <row r="1070" ht="25.5" customHeight="1">
      <c r="A1070" s="4" t="s">
        <v>1863</v>
      </c>
      <c r="B1070" s="8"/>
      <c r="C1070" s="6" t="s">
        <v>1864</v>
      </c>
      <c r="D1070" s="12">
        <f>D1084</f>
        <v>9.237140996</v>
      </c>
    </row>
    <row r="1071" ht="25.5" customHeight="1">
      <c r="A1071" s="4" t="s">
        <v>1865</v>
      </c>
      <c r="B1071" s="8"/>
      <c r="C1071" s="6" t="s">
        <v>161</v>
      </c>
      <c r="D1071" s="12">
        <f>D1058</f>
        <v>8.28</v>
      </c>
    </row>
    <row r="1072" ht="25.5" customHeight="1">
      <c r="A1072" s="4" t="s">
        <v>1866</v>
      </c>
      <c r="B1072" s="8"/>
      <c r="C1072" s="6" t="s">
        <v>163</v>
      </c>
      <c r="D1072" s="7">
        <f>D742+(((D2442-D742)/9)*3)</f>
        <v>10.05909474</v>
      </c>
    </row>
    <row r="1073" ht="25.5" customHeight="1">
      <c r="A1073" s="4" t="s">
        <v>1867</v>
      </c>
      <c r="B1073" s="8"/>
      <c r="C1073" s="6" t="s">
        <v>720</v>
      </c>
      <c r="D1073" s="12">
        <f>D3117</f>
        <v>11.93791916</v>
      </c>
    </row>
    <row r="1074" ht="25.5" customHeight="1">
      <c r="A1074" s="4" t="s">
        <v>1868</v>
      </c>
      <c r="B1074" s="8"/>
      <c r="C1074" s="6" t="s">
        <v>1378</v>
      </c>
      <c r="D1074" s="12">
        <f>AVERAGE(D1064,D1031,D1008,D2054)</f>
        <v>7.314317363</v>
      </c>
    </row>
    <row r="1075" ht="25.5" customHeight="1">
      <c r="A1075" s="4" t="s">
        <v>1869</v>
      </c>
      <c r="B1075" s="8"/>
      <c r="C1075" s="6" t="s">
        <v>1870</v>
      </c>
      <c r="D1075" s="7">
        <f>D742+(((D2442-D742)/9)*2)</f>
        <v>7.135610526</v>
      </c>
    </row>
    <row r="1076" ht="25.5" customHeight="1">
      <c r="A1076" s="4" t="s">
        <v>1871</v>
      </c>
      <c r="B1076" s="8"/>
      <c r="C1076" s="6" t="s">
        <v>1872</v>
      </c>
      <c r="D1076" s="12">
        <f>D1114</f>
        <v>6.077068966</v>
      </c>
    </row>
    <row r="1077" ht="25.5" customHeight="1">
      <c r="A1077" s="4" t="s">
        <v>1873</v>
      </c>
      <c r="B1077" s="8"/>
      <c r="C1077" s="6" t="s">
        <v>1384</v>
      </c>
      <c r="D1077" s="12">
        <f>AVERAGE(D1047,D1026,D1085,D1050)</f>
        <v>12.72135263</v>
      </c>
    </row>
    <row r="1078" ht="25.5" customHeight="1">
      <c r="A1078" s="4" t="s">
        <v>1874</v>
      </c>
      <c r="B1078" s="8"/>
      <c r="C1078" s="6" t="s">
        <v>1671</v>
      </c>
      <c r="D1078" s="12">
        <f>AVERAGE(D1043,D830,D812)</f>
        <v>5.24726807</v>
      </c>
    </row>
    <row r="1079" ht="25.5" customHeight="1">
      <c r="A1079" s="4" t="s">
        <v>1875</v>
      </c>
      <c r="B1079" s="8"/>
      <c r="C1079" s="6" t="s">
        <v>1876</v>
      </c>
      <c r="D1079" s="12">
        <f>AVERAGE(D1099,D1002,D1083)</f>
        <v>8.336881609</v>
      </c>
    </row>
    <row r="1080" ht="25.5" customHeight="1">
      <c r="A1080" s="4" t="s">
        <v>1877</v>
      </c>
      <c r="B1080" s="8"/>
      <c r="C1080" s="6" t="s">
        <v>1388</v>
      </c>
      <c r="D1080" s="12">
        <f>D1116</f>
        <v>4.144396552</v>
      </c>
    </row>
    <row r="1081" ht="25.5" customHeight="1">
      <c r="A1081" s="4" t="s">
        <v>1878</v>
      </c>
      <c r="B1081" s="8"/>
      <c r="C1081" s="6" t="s">
        <v>1879</v>
      </c>
      <c r="D1081" s="12">
        <f>AVERAGE(D1046,D1001)</f>
        <v>12.42</v>
      </c>
    </row>
    <row r="1082" ht="25.5" customHeight="1">
      <c r="A1082" s="4" t="s">
        <v>1880</v>
      </c>
      <c r="B1082" s="8"/>
      <c r="C1082" s="6" t="s">
        <v>167</v>
      </c>
      <c r="D1082" s="12">
        <f>D1001</f>
        <v>13.8</v>
      </c>
    </row>
    <row r="1083" ht="25.5" customHeight="1">
      <c r="A1083" s="4" t="s">
        <v>1881</v>
      </c>
      <c r="B1083" s="8"/>
      <c r="C1083" s="6" t="s">
        <v>169</v>
      </c>
      <c r="D1083" s="12">
        <f>D1030+(((D3087-D1030)/10)*2)</f>
        <v>7.436622222</v>
      </c>
    </row>
    <row r="1084" ht="25.5" customHeight="1">
      <c r="A1084" s="4" t="s">
        <v>1882</v>
      </c>
      <c r="B1084" s="8"/>
      <c r="C1084" s="6" t="s">
        <v>171</v>
      </c>
      <c r="D1084" s="12">
        <f>D1099</f>
        <v>9.237140996</v>
      </c>
    </row>
    <row r="1085" ht="25.5" customHeight="1">
      <c r="A1085" s="4" t="s">
        <v>1883</v>
      </c>
      <c r="B1085" s="8"/>
      <c r="C1085" s="6" t="s">
        <v>1884</v>
      </c>
      <c r="D1085" s="12">
        <f>D1020</f>
        <v>21.75303158</v>
      </c>
    </row>
    <row r="1086" ht="25.5" customHeight="1">
      <c r="A1086" s="4" t="s">
        <v>1885</v>
      </c>
      <c r="B1086" s="8"/>
      <c r="C1086" s="6" t="s">
        <v>1886</v>
      </c>
      <c r="D1086" s="12">
        <f>AVERAGE(D1011,D1043,D1058)</f>
        <v>5.52</v>
      </c>
    </row>
    <row r="1087" ht="25.5" customHeight="1">
      <c r="A1087" s="4" t="s">
        <v>1887</v>
      </c>
      <c r="B1087" s="8"/>
      <c r="C1087" s="6" t="s">
        <v>1888</v>
      </c>
      <c r="D1087" s="12">
        <f>D1002</f>
        <v>8.336881609</v>
      </c>
    </row>
    <row r="1088" ht="25.5" customHeight="1">
      <c r="A1088" s="4" t="s">
        <v>1889</v>
      </c>
      <c r="B1088" s="8"/>
      <c r="C1088" s="6" t="s">
        <v>1522</v>
      </c>
      <c r="D1088" s="12">
        <f>AVERAGE(D1026,D1042,D1010,D1039,D1012,D1085)</f>
        <v>10.6897407</v>
      </c>
    </row>
    <row r="1089" ht="25.5" customHeight="1">
      <c r="A1089" s="4" t="s">
        <v>1890</v>
      </c>
      <c r="B1089" s="8"/>
      <c r="C1089" s="6" t="s">
        <v>1891</v>
      </c>
      <c r="D1089" s="12">
        <f>AVERAGE(D1052,D809)</f>
        <v>5.72</v>
      </c>
    </row>
    <row r="1090" ht="25.5" customHeight="1">
      <c r="A1090" s="4" t="s">
        <v>1892</v>
      </c>
      <c r="B1090" s="8"/>
      <c r="C1090" s="6" t="s">
        <v>1525</v>
      </c>
      <c r="D1090" s="12">
        <f>AVERAGE(D1037,D1101,D1033,D1048,D1017,D1035)</f>
        <v>5.040413793</v>
      </c>
    </row>
    <row r="1091" ht="25.5" customHeight="1">
      <c r="A1091" s="4" t="s">
        <v>1893</v>
      </c>
      <c r="B1091" s="8"/>
      <c r="C1091" s="6" t="s">
        <v>1894</v>
      </c>
      <c r="D1091" s="12">
        <f>AVERAGE(D1022,D1051)</f>
        <v>5.911706897</v>
      </c>
    </row>
    <row r="1092" ht="25.5" customHeight="1">
      <c r="A1092" s="4" t="s">
        <v>1895</v>
      </c>
      <c r="B1092" s="8"/>
      <c r="C1092" s="6" t="s">
        <v>1896</v>
      </c>
      <c r="D1092" s="12">
        <f>AVERAGE(D1015,D1055,D1037)</f>
        <v>5.250258621</v>
      </c>
    </row>
    <row r="1093" ht="25.5" customHeight="1">
      <c r="A1093" s="4" t="s">
        <v>1897</v>
      </c>
      <c r="B1093" s="8"/>
      <c r="C1093" s="6" t="s">
        <v>173</v>
      </c>
      <c r="D1093" s="12">
        <f>AVERAGE(D1044,D1062,D1091)</f>
        <v>6.003574713</v>
      </c>
    </row>
    <row r="1094" ht="25.5" customHeight="1">
      <c r="A1094" s="4" t="s">
        <v>1898</v>
      </c>
      <c r="B1094" s="8"/>
      <c r="C1094" s="6" t="s">
        <v>177</v>
      </c>
      <c r="D1094" s="12">
        <f>AVERAGE(D1073,D3097)</f>
        <v>11.93791916</v>
      </c>
    </row>
    <row r="1095" ht="25.5" customHeight="1">
      <c r="A1095" s="4" t="s">
        <v>1899</v>
      </c>
      <c r="B1095" s="8"/>
      <c r="C1095" s="6" t="s">
        <v>1900</v>
      </c>
      <c r="D1095" s="12">
        <f>AVERAGE(D1083,D1021)</f>
        <v>6.986492529</v>
      </c>
    </row>
    <row r="1096" ht="25.5" customHeight="1">
      <c r="A1096" s="4" t="s">
        <v>1901</v>
      </c>
      <c r="B1096" s="8"/>
      <c r="C1096" s="6" t="s">
        <v>307</v>
      </c>
      <c r="D1096" s="12">
        <f>AVERAGE(D1059,D1098)</f>
        <v>5.911706897</v>
      </c>
    </row>
    <row r="1097" ht="25.5" customHeight="1">
      <c r="A1097" s="4" t="s">
        <v>1902</v>
      </c>
      <c r="B1097" s="8"/>
      <c r="C1097" s="6" t="s">
        <v>1903</v>
      </c>
      <c r="D1097" s="12">
        <f>AVERAGE(D1008,D1045,D1087,D1031)</f>
        <v>6.919882711</v>
      </c>
    </row>
    <row r="1098" ht="25.5" customHeight="1">
      <c r="A1098" s="4" t="s">
        <v>1904</v>
      </c>
      <c r="B1098" s="8"/>
      <c r="C1098" s="6" t="s">
        <v>1905</v>
      </c>
      <c r="D1098" s="12">
        <f>D1316+(((D2464-D1316)/29)*19)</f>
        <v>5.856586207</v>
      </c>
    </row>
    <row r="1099" ht="25.5" customHeight="1">
      <c r="A1099" s="4" t="s">
        <v>1906</v>
      </c>
      <c r="B1099" s="8"/>
      <c r="C1099" s="6" t="s">
        <v>1907</v>
      </c>
      <c r="D1099" s="12">
        <f>D1030+(((D3087-D1030)/10)*4)</f>
        <v>9.237140996</v>
      </c>
    </row>
    <row r="1100" ht="25.5" customHeight="1">
      <c r="A1100" s="4" t="s">
        <v>1908</v>
      </c>
      <c r="B1100" s="8"/>
      <c r="C1100" s="6" t="s">
        <v>181</v>
      </c>
      <c r="D1100" s="12">
        <f>D1096</f>
        <v>5.911706897</v>
      </c>
    </row>
    <row r="1101" ht="25.5" customHeight="1">
      <c r="A1101" s="4" t="s">
        <v>1909</v>
      </c>
      <c r="B1101" s="8"/>
      <c r="C1101" s="6" t="s">
        <v>312</v>
      </c>
      <c r="D1101" s="12">
        <f>D1316+(((D2464-D1316)/29)*16)</f>
        <v>5.525862069</v>
      </c>
    </row>
    <row r="1102" ht="25.5" customHeight="1">
      <c r="A1102" s="4" t="s">
        <v>1910</v>
      </c>
      <c r="B1102" s="8"/>
      <c r="C1102" s="6" t="s">
        <v>183</v>
      </c>
      <c r="D1102" s="12">
        <f>D1052+(((D1101-D1052)/4)*1)</f>
        <v>1.381465517</v>
      </c>
    </row>
    <row r="1103" ht="25.5" customHeight="1">
      <c r="A1103" s="4" t="s">
        <v>1911</v>
      </c>
      <c r="B1103" s="8"/>
      <c r="C1103" s="6" t="s">
        <v>1912</v>
      </c>
      <c r="D1103" s="12">
        <f>D1052+(((D68-D1052)/19)*8)</f>
        <v>22.08</v>
      </c>
    </row>
    <row r="1104" ht="25.5" customHeight="1">
      <c r="A1104" s="4" t="s">
        <v>1913</v>
      </c>
      <c r="B1104" s="8"/>
      <c r="C1104" s="6" t="s">
        <v>1544</v>
      </c>
      <c r="D1104" s="12">
        <f>AVERAGE(D1102,D1011)</f>
        <v>2.070732759</v>
      </c>
    </row>
    <row r="1105" ht="25.5" customHeight="1">
      <c r="A1105" s="4" t="s">
        <v>1914</v>
      </c>
      <c r="B1105" s="8"/>
      <c r="C1105" s="6" t="s">
        <v>759</v>
      </c>
      <c r="D1105" s="12">
        <f>D1058</f>
        <v>8.28</v>
      </c>
    </row>
    <row r="1106" ht="25.5" customHeight="1">
      <c r="A1106" s="4" t="s">
        <v>1915</v>
      </c>
      <c r="B1106" s="8"/>
      <c r="C1106" s="6" t="s">
        <v>1916</v>
      </c>
      <c r="D1106" s="12">
        <f>AVERAGE(D1020,D2494,D2505)</f>
        <v>23.75651579</v>
      </c>
    </row>
    <row r="1107" ht="25.5" customHeight="1">
      <c r="A1107" s="4" t="s">
        <v>1917</v>
      </c>
      <c r="B1107" s="8"/>
      <c r="C1107" s="6" t="s">
        <v>1918</v>
      </c>
      <c r="D1107" s="7">
        <f>D742+(((D2442-D742)/9)*6)</f>
        <v>18.82954737</v>
      </c>
    </row>
    <row r="1108" ht="25.5" customHeight="1">
      <c r="A1108" s="4" t="s">
        <v>1919</v>
      </c>
      <c r="B1108" s="8"/>
      <c r="C1108" s="6" t="s">
        <v>1920</v>
      </c>
      <c r="D1108" s="12">
        <f>AVERAGE(D809,D1089,D1048,D1017)</f>
        <v>7.072258621</v>
      </c>
    </row>
    <row r="1109" ht="25.5" customHeight="1">
      <c r="A1109" s="4" t="s">
        <v>1921</v>
      </c>
      <c r="B1109" s="8"/>
      <c r="C1109" s="6" t="s">
        <v>326</v>
      </c>
      <c r="D1109" s="12">
        <f>D864</f>
        <v>2.877543158</v>
      </c>
    </row>
    <row r="1110" ht="25.5" customHeight="1">
      <c r="A1110" s="4" t="s">
        <v>1922</v>
      </c>
      <c r="B1110" s="8"/>
      <c r="C1110" s="6" t="s">
        <v>1025</v>
      </c>
      <c r="D1110" s="12">
        <f>D1052+(((D68-D1052)/19)*7)</f>
        <v>19.32</v>
      </c>
    </row>
    <row r="1111" ht="25.5" customHeight="1">
      <c r="A1111" s="4" t="s">
        <v>1923</v>
      </c>
      <c r="B1111" s="8"/>
      <c r="C1111" s="6" t="s">
        <v>197</v>
      </c>
      <c r="D1111" s="12">
        <f>AVERAGE(D1071,D1086,D999,D1080)</f>
        <v>5.176831897</v>
      </c>
    </row>
    <row r="1112" ht="25.5" customHeight="1">
      <c r="A1112" s="4" t="s">
        <v>1924</v>
      </c>
      <c r="B1112" s="8"/>
      <c r="C1112" s="6" t="s">
        <v>1028</v>
      </c>
      <c r="D1112" s="12">
        <f>AVERAGE(D1096,D1076)</f>
        <v>5.994387931</v>
      </c>
    </row>
    <row r="1113" ht="25.5" customHeight="1">
      <c r="A1113" s="4" t="s">
        <v>1925</v>
      </c>
      <c r="B1113" s="8"/>
      <c r="C1113" s="6" t="s">
        <v>1030</v>
      </c>
      <c r="D1113" s="12">
        <f>AVERAGE(D1050,D1024,D1109,D1047)</f>
        <v>10.58962605</v>
      </c>
    </row>
    <row r="1114" ht="25.5" customHeight="1">
      <c r="A1114" s="4" t="s">
        <v>1926</v>
      </c>
      <c r="B1114" s="8"/>
      <c r="C1114" s="6" t="s">
        <v>1577</v>
      </c>
      <c r="D1114" s="12">
        <f>D1316+(((D2464-D1316)/29)*21)</f>
        <v>6.077068966</v>
      </c>
    </row>
    <row r="1115" ht="25.5" customHeight="1">
      <c r="A1115" s="4" t="s">
        <v>1927</v>
      </c>
      <c r="B1115" s="8"/>
      <c r="C1115" s="6" t="s">
        <v>1928</v>
      </c>
      <c r="D1115" s="12">
        <f>AVERAGE(D1095,D1079,D1084)</f>
        <v>8.186838378</v>
      </c>
    </row>
    <row r="1116" ht="25.5" customHeight="1">
      <c r="A1116" s="4" t="s">
        <v>1929</v>
      </c>
      <c r="B1116" s="11"/>
      <c r="C1116" s="6" t="s">
        <v>1441</v>
      </c>
      <c r="D1116" s="12">
        <f>D1052+(((D1101-D1052)/4)*3)</f>
        <v>4.144396552</v>
      </c>
    </row>
    <row r="1117" ht="25.5" customHeight="1">
      <c r="A1117" s="4" t="s">
        <v>1930</v>
      </c>
      <c r="B1117" s="5" t="s">
        <v>1931</v>
      </c>
      <c r="C1117" s="6" t="s">
        <v>1932</v>
      </c>
      <c r="D1117" s="12">
        <f>D2627+(((D1152-D2627)/17)*6)</f>
        <v>45.52941176</v>
      </c>
    </row>
    <row r="1118" ht="25.5" customHeight="1">
      <c r="A1118" s="4" t="s">
        <v>1933</v>
      </c>
      <c r="B1118" s="8"/>
      <c r="C1118" s="6" t="s">
        <v>1445</v>
      </c>
      <c r="D1118" s="12">
        <f>AVERAGE(D1143,D1156)</f>
        <v>40.47778174</v>
      </c>
    </row>
    <row r="1119" ht="25.5" customHeight="1">
      <c r="A1119" s="4" t="s">
        <v>1934</v>
      </c>
      <c r="B1119" s="8"/>
      <c r="C1119" s="6" t="s">
        <v>1935</v>
      </c>
      <c r="D1119" s="12">
        <f>D2627+(((D1152-D2627)/17)*12)</f>
        <v>91.05882353</v>
      </c>
    </row>
    <row r="1120" ht="25.5" customHeight="1">
      <c r="A1120" s="4" t="s">
        <v>1936</v>
      </c>
      <c r="B1120" s="8"/>
      <c r="C1120" s="6" t="s">
        <v>1937</v>
      </c>
      <c r="D1120" s="12">
        <f>AVERAGE(D1167,D1140,D1119,D1163)</f>
        <v>79.67647059</v>
      </c>
    </row>
    <row r="1121" ht="25.5" customHeight="1">
      <c r="A1121" s="4" t="s">
        <v>1938</v>
      </c>
      <c r="B1121" s="8"/>
      <c r="C1121" s="6" t="s">
        <v>1939</v>
      </c>
      <c r="D1121" s="12">
        <f>D1125+(((D1145-D1125)/7)*4)</f>
        <v>45.54020202</v>
      </c>
    </row>
    <row r="1122" ht="25.5" customHeight="1">
      <c r="A1122" s="4" t="s">
        <v>1940</v>
      </c>
      <c r="B1122" s="8"/>
      <c r="C1122" s="6" t="s">
        <v>1941</v>
      </c>
      <c r="D1122" s="12">
        <f>D1126</f>
        <v>30.35294118</v>
      </c>
    </row>
    <row r="1123" ht="25.5" customHeight="1">
      <c r="A1123" s="4" t="s">
        <v>1942</v>
      </c>
      <c r="B1123" s="8"/>
      <c r="C1123" s="6" t="s">
        <v>1943</v>
      </c>
      <c r="D1123" s="12">
        <f>D2655+(((D1544-D2655)/14)*8)</f>
        <v>56.69910714</v>
      </c>
    </row>
    <row r="1124" ht="25.5" customHeight="1">
      <c r="A1124" s="4" t="s">
        <v>1944</v>
      </c>
      <c r="B1124" s="8"/>
      <c r="C1124" s="6" t="s">
        <v>1945</v>
      </c>
      <c r="D1124" s="12">
        <f>D2655+(((D1544-D2655)/14)*6)</f>
        <v>42.52433036</v>
      </c>
    </row>
    <row r="1125" ht="25.5" customHeight="1">
      <c r="A1125" s="4" t="s">
        <v>1946</v>
      </c>
      <c r="B1125" s="8"/>
      <c r="C1125" s="6" t="s">
        <v>1947</v>
      </c>
      <c r="D1125" s="12">
        <f>D2655+(((D1544-D2655)/14)*5)</f>
        <v>35.43694196</v>
      </c>
    </row>
    <row r="1126" ht="25.5" customHeight="1">
      <c r="A1126" s="4" t="s">
        <v>1948</v>
      </c>
      <c r="B1126" s="8"/>
      <c r="C1126" s="6" t="s">
        <v>1949</v>
      </c>
      <c r="D1126" s="12">
        <f>D2627+(((D1152-D2627)/17)*4)</f>
        <v>30.35294118</v>
      </c>
    </row>
    <row r="1127" ht="25.5" customHeight="1">
      <c r="A1127" s="4" t="s">
        <v>1950</v>
      </c>
      <c r="B1127" s="8"/>
      <c r="C1127" s="6" t="s">
        <v>1781</v>
      </c>
      <c r="D1127" s="12">
        <f>AVERAGE(D1153,D1158)</f>
        <v>74.41757813</v>
      </c>
    </row>
    <row r="1128" ht="25.5" customHeight="1">
      <c r="A1128" s="4" t="s">
        <v>1951</v>
      </c>
      <c r="B1128" s="8"/>
      <c r="C1128" s="6" t="s">
        <v>1952</v>
      </c>
      <c r="D1128" s="12">
        <f>AVERAGE(D2649,D2707,D1126,D1143)</f>
        <v>26.55882353</v>
      </c>
    </row>
    <row r="1129" ht="25.5" customHeight="1">
      <c r="A1129" s="4" t="s">
        <v>1953</v>
      </c>
      <c r="B1129" s="8"/>
      <c r="C1129" s="6" t="s">
        <v>1954</v>
      </c>
      <c r="D1129" s="12">
        <f>D1121</f>
        <v>45.54020202</v>
      </c>
    </row>
    <row r="1130" ht="25.5" customHeight="1">
      <c r="A1130" s="4" t="s">
        <v>1955</v>
      </c>
      <c r="B1130" s="8"/>
      <c r="C1130" s="6" t="s">
        <v>1956</v>
      </c>
      <c r="D1130" s="12">
        <f>AVERAGE(D1176,D1123,D1147)</f>
        <v>56.69910714</v>
      </c>
    </row>
    <row r="1131" ht="25.5" customHeight="1">
      <c r="A1131" s="4" t="s">
        <v>1957</v>
      </c>
      <c r="B1131" s="8"/>
      <c r="C1131" s="6" t="s">
        <v>1958</v>
      </c>
      <c r="D1131" s="12">
        <f>D1121</f>
        <v>45.54020202</v>
      </c>
    </row>
    <row r="1132" ht="25.5" customHeight="1">
      <c r="A1132" s="4" t="s">
        <v>1959</v>
      </c>
      <c r="B1132" s="8"/>
      <c r="C1132" s="6" t="s">
        <v>1960</v>
      </c>
      <c r="D1132" s="12">
        <f>D1125+(((D1145-D1125)/7)*1)</f>
        <v>37.96275698</v>
      </c>
    </row>
    <row r="1133" ht="25.5" customHeight="1">
      <c r="A1133" s="4" t="s">
        <v>1961</v>
      </c>
      <c r="B1133" s="8"/>
      <c r="C1133" s="6" t="s">
        <v>1962</v>
      </c>
      <c r="D1133" s="12">
        <f>D2627+(((D1152-D2627)/17)*11)</f>
        <v>83.47058824</v>
      </c>
    </row>
    <row r="1134" ht="25.5" customHeight="1">
      <c r="A1134" s="4" t="s">
        <v>1963</v>
      </c>
      <c r="B1134" s="8"/>
      <c r="C1134" s="6" t="s">
        <v>1964</v>
      </c>
      <c r="D1134" s="12">
        <f>D1149</f>
        <v>85.04866071</v>
      </c>
    </row>
    <row r="1135" ht="25.5" customHeight="1">
      <c r="A1135" s="4" t="s">
        <v>1965</v>
      </c>
      <c r="B1135" s="8"/>
      <c r="C1135" s="6" t="s">
        <v>1966</v>
      </c>
      <c r="D1135" s="12">
        <f>D1133</f>
        <v>83.47058824</v>
      </c>
    </row>
    <row r="1136" ht="25.5" customHeight="1">
      <c r="A1136" s="4" t="s">
        <v>1967</v>
      </c>
      <c r="B1136" s="8"/>
      <c r="C1136" s="6" t="s">
        <v>1968</v>
      </c>
      <c r="D1136" s="12">
        <f>AVERAGE(D1117,D1165,D1121,D1156)</f>
        <v>45.53750445</v>
      </c>
    </row>
    <row r="1137" ht="25.5" customHeight="1">
      <c r="A1137" s="4" t="s">
        <v>1969</v>
      </c>
      <c r="B1137" s="8"/>
      <c r="C1137" s="6" t="s">
        <v>126</v>
      </c>
      <c r="D1137" s="12">
        <f>AVERAGE(D1158,D1149)</f>
        <v>81.50496652</v>
      </c>
    </row>
    <row r="1138" ht="25.5" customHeight="1">
      <c r="A1138" s="4" t="s">
        <v>1970</v>
      </c>
      <c r="B1138" s="8"/>
      <c r="C1138" s="6" t="s">
        <v>252</v>
      </c>
      <c r="D1138" s="12">
        <f>AVERAGE(D1156,D1151)</f>
        <v>41.7514795</v>
      </c>
    </row>
    <row r="1139" ht="25.5" customHeight="1">
      <c r="A1139" s="4" t="s">
        <v>1971</v>
      </c>
      <c r="B1139" s="8"/>
      <c r="C1139" s="6" t="s">
        <v>1972</v>
      </c>
      <c r="D1139" s="12">
        <f>AVERAGE(D1166,D1140)</f>
        <v>64.5</v>
      </c>
    </row>
    <row r="1140" ht="25.5" customHeight="1">
      <c r="A1140" s="4" t="s">
        <v>1973</v>
      </c>
      <c r="B1140" s="8"/>
      <c r="C1140" s="6" t="s">
        <v>1974</v>
      </c>
      <c r="D1140" s="12">
        <f>D2627+(((D1152-D2627)/17)*9)</f>
        <v>68.29411765</v>
      </c>
    </row>
    <row r="1141" ht="25.5" customHeight="1">
      <c r="A1141" s="4" t="s">
        <v>1975</v>
      </c>
      <c r="B1141" s="8"/>
      <c r="C1141" s="6" t="s">
        <v>138</v>
      </c>
      <c r="D1141" s="12">
        <f>AVERAGE(D1123,D1147,D1153)</f>
        <v>63.78649554</v>
      </c>
    </row>
    <row r="1142" ht="25.5" customHeight="1">
      <c r="A1142" s="4" t="s">
        <v>1976</v>
      </c>
      <c r="B1142" s="8"/>
      <c r="C1142" s="6" t="s">
        <v>140</v>
      </c>
      <c r="D1142" s="12">
        <f>D2627+(((D1152-D2627)/17)*16)</f>
        <v>121.4117647</v>
      </c>
    </row>
    <row r="1143" ht="25.5" customHeight="1">
      <c r="A1143" s="4" t="s">
        <v>1977</v>
      </c>
      <c r="B1143" s="8"/>
      <c r="C1143" s="6" t="s">
        <v>1978</v>
      </c>
      <c r="D1143" s="12">
        <f>D2627+(((D1152-D2627)/17)*5)</f>
        <v>37.94117647</v>
      </c>
    </row>
    <row r="1144" ht="25.5" customHeight="1">
      <c r="A1144" s="4" t="s">
        <v>1979</v>
      </c>
      <c r="B1144" s="8"/>
      <c r="C1144" s="6" t="s">
        <v>1980</v>
      </c>
      <c r="D1144" s="12">
        <f>AVERAGE(D1121,D1156)</f>
        <v>44.27729451</v>
      </c>
    </row>
    <row r="1145" ht="25.5" customHeight="1">
      <c r="A1145" s="4" t="s">
        <v>1981</v>
      </c>
      <c r="B1145" s="8"/>
      <c r="C1145" s="6" t="s">
        <v>269</v>
      </c>
      <c r="D1145" s="12">
        <f>D2627+(((D1152-D2627)/17)*7)</f>
        <v>53.11764706</v>
      </c>
    </row>
    <row r="1146" ht="25.5" customHeight="1">
      <c r="A1146" s="4" t="s">
        <v>1982</v>
      </c>
      <c r="B1146" s="8"/>
      <c r="C1146" s="6" t="s">
        <v>1983</v>
      </c>
      <c r="D1146" s="12">
        <f>AVERAGE(D1163,D1164,D1161,D1142)</f>
        <v>110.0294118</v>
      </c>
    </row>
    <row r="1147" ht="25.5" customHeight="1">
      <c r="A1147" s="4" t="s">
        <v>1984</v>
      </c>
      <c r="B1147" s="8"/>
      <c r="C1147" s="6" t="s">
        <v>273</v>
      </c>
      <c r="D1147" s="12">
        <f>D2655+(((D1544-D2655)/14)*9)</f>
        <v>63.78649554</v>
      </c>
    </row>
    <row r="1148" ht="25.5" customHeight="1">
      <c r="A1148" s="4" t="s">
        <v>1985</v>
      </c>
      <c r="B1148" s="8"/>
      <c r="C1148" s="6" t="s">
        <v>1369</v>
      </c>
      <c r="D1148" s="12">
        <f>AVERAGE(D1133,D1169)</f>
        <v>109.3876379</v>
      </c>
    </row>
    <row r="1149" ht="25.5" customHeight="1">
      <c r="A1149" s="4" t="s">
        <v>1986</v>
      </c>
      <c r="B1149" s="8"/>
      <c r="C1149" s="6" t="s">
        <v>157</v>
      </c>
      <c r="D1149" s="12">
        <f>D2655+(((D1544-D2655)/14)*12)</f>
        <v>85.04866071</v>
      </c>
    </row>
    <row r="1150" ht="25.5" customHeight="1">
      <c r="A1150" s="4" t="s">
        <v>1987</v>
      </c>
      <c r="B1150" s="8"/>
      <c r="C1150" s="6" t="s">
        <v>1988</v>
      </c>
      <c r="D1150" s="12">
        <f>AVERAGE(D1153,D1158)</f>
        <v>74.41757813</v>
      </c>
    </row>
    <row r="1151" ht="25.5" customHeight="1">
      <c r="A1151" s="4" t="s">
        <v>1989</v>
      </c>
      <c r="B1151" s="8"/>
      <c r="C1151" s="6" t="s">
        <v>1990</v>
      </c>
      <c r="D1151" s="12">
        <f>D1125+(((D1145-D1125)/7)*2)</f>
        <v>40.48857199</v>
      </c>
    </row>
    <row r="1152" ht="25.5" customHeight="1">
      <c r="A1152" s="4" t="s">
        <v>1991</v>
      </c>
      <c r="B1152" s="8"/>
      <c r="C1152" s="9" t="s">
        <v>1992</v>
      </c>
      <c r="D1152" s="12">
        <v>129.0</v>
      </c>
      <c r="E1152" s="10" t="s">
        <v>1993</v>
      </c>
    </row>
    <row r="1153" ht="25.5" customHeight="1">
      <c r="A1153" s="4" t="s">
        <v>1994</v>
      </c>
      <c r="B1153" s="8"/>
      <c r="C1153" s="6" t="s">
        <v>293</v>
      </c>
      <c r="D1153" s="12">
        <f>D2655+(((D1544-D2655)/14)*10)</f>
        <v>70.87388393</v>
      </c>
    </row>
    <row r="1154" ht="25.5" customHeight="1">
      <c r="A1154" s="4" t="s">
        <v>1995</v>
      </c>
      <c r="B1154" s="8"/>
      <c r="C1154" s="6" t="s">
        <v>1996</v>
      </c>
      <c r="D1154" s="12">
        <f>AVERAGE(D1142,D1152)</f>
        <v>125.2058824</v>
      </c>
    </row>
    <row r="1155" ht="25.5" customHeight="1">
      <c r="A1155" s="4" t="s">
        <v>1997</v>
      </c>
      <c r="B1155" s="8"/>
      <c r="C1155" s="6" t="s">
        <v>1998</v>
      </c>
      <c r="D1155" s="12">
        <f>AVERAGE(D1177,D1140,D1166,D1165,D1121)</f>
        <v>59.6977144</v>
      </c>
    </row>
    <row r="1156" ht="25.5" customHeight="1">
      <c r="A1156" s="4" t="s">
        <v>1999</v>
      </c>
      <c r="B1156" s="8"/>
      <c r="C1156" s="6" t="s">
        <v>2000</v>
      </c>
      <c r="D1156" s="12">
        <f>D1125+(((D1145-D1125)/7)*3)</f>
        <v>43.014387</v>
      </c>
    </row>
    <row r="1157" ht="25.5" customHeight="1">
      <c r="A1157" s="4" t="s">
        <v>2001</v>
      </c>
      <c r="B1157" s="8"/>
      <c r="C1157" s="6" t="s">
        <v>2002</v>
      </c>
      <c r="D1157" s="12">
        <f>AVERAGE(D1151,D1123,D1124,D1125,D1132)</f>
        <v>42.62234169</v>
      </c>
    </row>
    <row r="1158" ht="25.5" customHeight="1">
      <c r="A1158" s="4" t="s">
        <v>2003</v>
      </c>
      <c r="B1158" s="8"/>
      <c r="C1158" s="6" t="s">
        <v>1407</v>
      </c>
      <c r="D1158" s="12">
        <f>D2655+(((D1544-D2655)/14)*11)</f>
        <v>77.96127232</v>
      </c>
    </row>
    <row r="1159" ht="25.5" customHeight="1">
      <c r="A1159" s="4" t="s">
        <v>2004</v>
      </c>
      <c r="B1159" s="8"/>
      <c r="C1159" s="6" t="s">
        <v>2005</v>
      </c>
      <c r="D1159" s="12">
        <f>AVERAGE(D1151,D1132)</f>
        <v>39.22566448</v>
      </c>
    </row>
    <row r="1160" ht="25.5" customHeight="1">
      <c r="A1160" s="4" t="s">
        <v>2006</v>
      </c>
      <c r="B1160" s="8"/>
      <c r="C1160" s="6" t="s">
        <v>2007</v>
      </c>
      <c r="D1160" s="12">
        <f>D1152</f>
        <v>129</v>
      </c>
    </row>
    <row r="1161" ht="25.5" customHeight="1">
      <c r="A1161" s="4" t="s">
        <v>2008</v>
      </c>
      <c r="B1161" s="8"/>
      <c r="C1161" s="6" t="s">
        <v>2009</v>
      </c>
      <c r="D1161" s="12">
        <f>D2627+(((D1152-D2627)/17)*15)</f>
        <v>113.8235294</v>
      </c>
    </row>
    <row r="1162" ht="25.5" customHeight="1">
      <c r="A1162" s="4" t="s">
        <v>2010</v>
      </c>
      <c r="B1162" s="8"/>
      <c r="C1162" s="6" t="s">
        <v>2011</v>
      </c>
      <c r="D1162" s="12">
        <f>AVERAGE(D1169,D1148)</f>
        <v>122.3461627</v>
      </c>
    </row>
    <row r="1163" ht="25.5" customHeight="1">
      <c r="A1163" s="4" t="s">
        <v>2012</v>
      </c>
      <c r="B1163" s="8"/>
      <c r="C1163" s="6" t="s">
        <v>2013</v>
      </c>
      <c r="D1163" s="12">
        <f>D2627+(((D1152-D2627)/17)*13)</f>
        <v>98.64705882</v>
      </c>
    </row>
    <row r="1164" ht="25.5" customHeight="1">
      <c r="A1164" s="4" t="s">
        <v>2014</v>
      </c>
      <c r="B1164" s="8"/>
      <c r="C1164" s="6" t="s">
        <v>2015</v>
      </c>
      <c r="D1164" s="12">
        <f>D2627+(((D1152-D2627)/17)*14)</f>
        <v>106.2352941</v>
      </c>
    </row>
    <row r="1165" ht="25.5" customHeight="1">
      <c r="A1165" s="4" t="s">
        <v>2016</v>
      </c>
      <c r="B1165" s="8"/>
      <c r="C1165" s="6" t="s">
        <v>2017</v>
      </c>
      <c r="D1165" s="12">
        <f>D1125+(((D1145-D1125)/7)*5)</f>
        <v>48.06601703</v>
      </c>
    </row>
    <row r="1166" ht="25.5" customHeight="1">
      <c r="A1166" s="4" t="s">
        <v>2018</v>
      </c>
      <c r="B1166" s="8"/>
      <c r="C1166" s="6" t="s">
        <v>2019</v>
      </c>
      <c r="D1166" s="12">
        <f>D2627+(((D1152-D2627)/17)*8)</f>
        <v>60.70588235</v>
      </c>
    </row>
    <row r="1167" ht="25.5" customHeight="1">
      <c r="A1167" s="4" t="s">
        <v>2020</v>
      </c>
      <c r="B1167" s="8"/>
      <c r="C1167" s="6" t="s">
        <v>2021</v>
      </c>
      <c r="D1167" s="12">
        <f>D1166</f>
        <v>60.70588235</v>
      </c>
    </row>
    <row r="1168" ht="25.5" customHeight="1">
      <c r="A1168" s="4" t="s">
        <v>2022</v>
      </c>
      <c r="B1168" s="8"/>
      <c r="C1168" s="6" t="s">
        <v>2023</v>
      </c>
      <c r="D1168" s="12">
        <f>D1152+(((D1549-D1152)/4)*1)</f>
        <v>144.325</v>
      </c>
    </row>
    <row r="1169" ht="25.5" customHeight="1">
      <c r="A1169" s="4" t="s">
        <v>2024</v>
      </c>
      <c r="B1169" s="8"/>
      <c r="C1169" s="6" t="s">
        <v>2025</v>
      </c>
      <c r="D1169" s="12">
        <f>D2510+(((D1168-D2510)/16)*15)</f>
        <v>135.3046875</v>
      </c>
    </row>
    <row r="1170" ht="25.5" customHeight="1">
      <c r="A1170" s="4" t="s">
        <v>2026</v>
      </c>
      <c r="B1170" s="8"/>
      <c r="C1170" s="6" t="s">
        <v>2027</v>
      </c>
      <c r="D1170" s="12">
        <f>AVERAGE(D1149,D1594)</f>
        <v>88.59235491</v>
      </c>
    </row>
    <row r="1171" ht="25.5" customHeight="1">
      <c r="A1171" s="4" t="s">
        <v>2028</v>
      </c>
      <c r="B1171" s="8"/>
      <c r="C1171" s="6" t="s">
        <v>2029</v>
      </c>
      <c r="D1171" s="12">
        <f>AVERAGE(D1167,D1120,D1146)</f>
        <v>83.47058824</v>
      </c>
    </row>
    <row r="1172" ht="25.5" customHeight="1">
      <c r="A1172" s="4" t="s">
        <v>2030</v>
      </c>
      <c r="B1172" s="8"/>
      <c r="C1172" s="6" t="s">
        <v>326</v>
      </c>
      <c r="D1172" s="12">
        <f>AVERAGE(D1147,D1153)</f>
        <v>67.33018973</v>
      </c>
    </row>
    <row r="1173" ht="25.5" customHeight="1">
      <c r="A1173" s="4" t="s">
        <v>2031</v>
      </c>
      <c r="B1173" s="8"/>
      <c r="C1173" s="6" t="s">
        <v>1426</v>
      </c>
      <c r="D1173" s="12">
        <f>AVERAGE(D1143,D1117,D1145)</f>
        <v>45.52941176</v>
      </c>
    </row>
    <row r="1174" ht="25.5" customHeight="1">
      <c r="A1174" s="4" t="s">
        <v>2032</v>
      </c>
      <c r="B1174" s="8"/>
      <c r="C1174" s="6" t="s">
        <v>2033</v>
      </c>
      <c r="D1174" s="12">
        <f>AVERAGE(D1156,D1151)</f>
        <v>41.7514795</v>
      </c>
    </row>
    <row r="1175" ht="25.5" customHeight="1">
      <c r="A1175" s="4" t="s">
        <v>2034</v>
      </c>
      <c r="B1175" s="8"/>
      <c r="C1175" s="6" t="s">
        <v>197</v>
      </c>
      <c r="D1175" s="12">
        <f>AVERAGE(D1576,D1169,D1168,D1574)</f>
        <v>135.113577</v>
      </c>
    </row>
    <row r="1176" ht="25.5" customHeight="1">
      <c r="A1176" s="4" t="s">
        <v>2035</v>
      </c>
      <c r="B1176" s="8"/>
      <c r="C1176" s="6" t="s">
        <v>1030</v>
      </c>
      <c r="D1176" s="12">
        <f>D2655+(((D1544-D2655)/14)*7)</f>
        <v>49.61171875</v>
      </c>
    </row>
    <row r="1177" ht="25.5" customHeight="1">
      <c r="A1177" s="4" t="s">
        <v>2036</v>
      </c>
      <c r="B1177" s="8"/>
      <c r="C1177" s="6" t="s">
        <v>2037</v>
      </c>
      <c r="D1177" s="12">
        <f>D2627+(((D1152-D2627)/17)*10)</f>
        <v>75.88235294</v>
      </c>
    </row>
    <row r="1178" ht="25.5" customHeight="1">
      <c r="A1178" s="4" t="s">
        <v>2038</v>
      </c>
      <c r="B1178" s="8"/>
      <c r="C1178" s="6" t="s">
        <v>2039</v>
      </c>
      <c r="D1178" s="12">
        <f>D1158</f>
        <v>77.96127232</v>
      </c>
    </row>
    <row r="1179" ht="25.5" customHeight="1">
      <c r="A1179" s="4" t="s">
        <v>2040</v>
      </c>
      <c r="B1179" s="8"/>
      <c r="C1179" s="6" t="s">
        <v>2041</v>
      </c>
      <c r="D1179" s="12">
        <f>AVERAGE(D1155,D1135)</f>
        <v>71.58415132</v>
      </c>
    </row>
    <row r="1180" ht="25.5" customHeight="1">
      <c r="A1180" s="4" t="s">
        <v>2042</v>
      </c>
      <c r="B1180" s="11"/>
      <c r="C1180" s="6" t="s">
        <v>2043</v>
      </c>
      <c r="D1180" s="12">
        <f>AVERAGE(D1151,D1123)</f>
        <v>48.59383957</v>
      </c>
    </row>
    <row r="1181" ht="25.5" customHeight="1">
      <c r="A1181" s="4" t="s">
        <v>2044</v>
      </c>
      <c r="B1181" s="5" t="s">
        <v>2045</v>
      </c>
      <c r="C1181" s="6" t="s">
        <v>2046</v>
      </c>
      <c r="D1181" s="12">
        <f>D1192</f>
        <v>14.04</v>
      </c>
    </row>
    <row r="1182" ht="25.5" customHeight="1">
      <c r="A1182" s="4" t="s">
        <v>2047</v>
      </c>
      <c r="B1182" s="8"/>
      <c r="C1182" s="6" t="s">
        <v>2048</v>
      </c>
      <c r="D1182" s="12">
        <f>D1985+(((D1187-D1985)/4)*3)</f>
        <v>19.51331548</v>
      </c>
    </row>
    <row r="1183" ht="25.5" customHeight="1">
      <c r="A1183" s="4" t="s">
        <v>2049</v>
      </c>
      <c r="B1183" s="8"/>
      <c r="C1183" s="6" t="s">
        <v>2050</v>
      </c>
      <c r="D1183" s="12">
        <f>D1191+(((D1192-D1191)/2)*1)</f>
        <v>14.04</v>
      </c>
    </row>
    <row r="1184" ht="25.5" customHeight="1">
      <c r="A1184" s="4" t="s">
        <v>2051</v>
      </c>
      <c r="B1184" s="8"/>
      <c r="C1184" s="6" t="s">
        <v>2052</v>
      </c>
      <c r="D1184" s="12">
        <f>D1181</f>
        <v>14.04</v>
      </c>
    </row>
    <row r="1185" ht="25.5" customHeight="1">
      <c r="A1185" s="4" t="s">
        <v>2053</v>
      </c>
      <c r="B1185" s="8"/>
      <c r="C1185" s="6" t="s">
        <v>2054</v>
      </c>
      <c r="D1185" s="12">
        <f>D1221+(((D1189-D1221)/4)*3)</f>
        <v>10.53</v>
      </c>
    </row>
    <row r="1186" ht="25.5" customHeight="1">
      <c r="A1186" s="4" t="s">
        <v>2055</v>
      </c>
      <c r="B1186" s="8"/>
      <c r="C1186" s="6" t="s">
        <v>126</v>
      </c>
      <c r="D1186" s="12">
        <f>D2956+(((D315-D2956)/6)*3)</f>
        <v>14.22622381</v>
      </c>
    </row>
    <row r="1187" ht="25.5" customHeight="1">
      <c r="A1187" s="4" t="s">
        <v>2056</v>
      </c>
      <c r="B1187" s="8"/>
      <c r="C1187" s="6" t="s">
        <v>2057</v>
      </c>
      <c r="D1187" s="12">
        <f>D2956+(((D315-D2956)/6)*5)</f>
        <v>19.25275397</v>
      </c>
    </row>
    <row r="1188" ht="25.5" customHeight="1">
      <c r="A1188" s="4" t="s">
        <v>2058</v>
      </c>
      <c r="B1188" s="8"/>
      <c r="C1188" s="6" t="s">
        <v>2059</v>
      </c>
      <c r="D1188" s="12">
        <f>D2956+(((D315-D2956)/6)*4)</f>
        <v>16.73948889</v>
      </c>
    </row>
    <row r="1189" ht="25.5" customHeight="1">
      <c r="A1189" s="4" t="s">
        <v>2060</v>
      </c>
      <c r="B1189" s="8"/>
      <c r="C1189" s="9" t="s">
        <v>2061</v>
      </c>
      <c r="D1189" s="12">
        <v>14.04</v>
      </c>
      <c r="E1189" s="10" t="s">
        <v>2062</v>
      </c>
    </row>
    <row r="1190" ht="25.5" customHeight="1">
      <c r="A1190" s="4" t="s">
        <v>2063</v>
      </c>
      <c r="B1190" s="8"/>
      <c r="C1190" s="6" t="s">
        <v>2064</v>
      </c>
      <c r="D1190" s="12">
        <f>D1181</f>
        <v>14.04</v>
      </c>
    </row>
    <row r="1191" ht="25.5" customHeight="1">
      <c r="A1191" s="4" t="s">
        <v>2065</v>
      </c>
      <c r="B1191" s="8"/>
      <c r="C1191" s="9" t="s">
        <v>2066</v>
      </c>
      <c r="D1191" s="12">
        <f>D1189</f>
        <v>14.04</v>
      </c>
      <c r="E1191" s="13" t="s">
        <v>2062</v>
      </c>
    </row>
    <row r="1192" ht="25.5" customHeight="1">
      <c r="A1192" s="4" t="s">
        <v>2067</v>
      </c>
      <c r="B1192" s="8"/>
      <c r="C1192" s="9" t="s">
        <v>1170</v>
      </c>
      <c r="D1192" s="12">
        <f>D1189</f>
        <v>14.04</v>
      </c>
      <c r="E1192" s="13" t="s">
        <v>2062</v>
      </c>
    </row>
    <row r="1193" ht="25.5" customHeight="1">
      <c r="A1193" s="4" t="s">
        <v>2068</v>
      </c>
      <c r="B1193" s="8"/>
      <c r="C1193" s="9" t="s">
        <v>2069</v>
      </c>
      <c r="D1193" s="12">
        <f>D1189</f>
        <v>14.04</v>
      </c>
      <c r="E1193" s="13" t="s">
        <v>2062</v>
      </c>
    </row>
    <row r="1194" ht="25.5" customHeight="1">
      <c r="A1194" s="4" t="s">
        <v>2070</v>
      </c>
      <c r="B1194" s="11"/>
      <c r="C1194" s="9" t="s">
        <v>2071</v>
      </c>
      <c r="D1194" s="12">
        <v>47.04</v>
      </c>
      <c r="E1194" s="10" t="s">
        <v>2072</v>
      </c>
    </row>
    <row r="1195" ht="25.5" customHeight="1">
      <c r="A1195" s="4" t="s">
        <v>2073</v>
      </c>
      <c r="B1195" s="5" t="s">
        <v>2074</v>
      </c>
      <c r="C1195" s="6" t="s">
        <v>2075</v>
      </c>
      <c r="D1195" s="12">
        <f>D1216+(((D3098-D1216)/4)*1)</f>
        <v>11.1418023</v>
      </c>
    </row>
    <row r="1196" ht="25.5" customHeight="1">
      <c r="A1196" s="4" t="s">
        <v>2076</v>
      </c>
      <c r="B1196" s="8"/>
      <c r="C1196" s="6" t="s">
        <v>2077</v>
      </c>
      <c r="D1196" s="12">
        <f>D1198</f>
        <v>0</v>
      </c>
    </row>
    <row r="1197" ht="25.5" customHeight="1">
      <c r="A1197" s="4" t="s">
        <v>2078</v>
      </c>
      <c r="B1197" s="8"/>
      <c r="C1197" s="6" t="s">
        <v>2079</v>
      </c>
      <c r="D1197" s="12">
        <f>D1198</f>
        <v>0</v>
      </c>
    </row>
    <row r="1198" ht="25.5" customHeight="1">
      <c r="A1198" s="4" t="s">
        <v>2080</v>
      </c>
      <c r="B1198" s="8"/>
      <c r="C1198" s="6" t="s">
        <v>2081</v>
      </c>
      <c r="D1198" s="7">
        <f>D2270+(((D2927-D2270)/10)*4)</f>
        <v>0</v>
      </c>
    </row>
    <row r="1199" ht="25.5" customHeight="1">
      <c r="A1199" s="4" t="s">
        <v>2082</v>
      </c>
      <c r="B1199" s="8"/>
      <c r="C1199" s="6" t="s">
        <v>2083</v>
      </c>
      <c r="D1199" s="12">
        <f>AVERAGE(D1196,D1214)</f>
        <v>0</v>
      </c>
    </row>
    <row r="1200" ht="25.5" customHeight="1">
      <c r="A1200" s="4" t="s">
        <v>2084</v>
      </c>
      <c r="B1200" s="8"/>
      <c r="C1200" s="6" t="s">
        <v>2085</v>
      </c>
      <c r="D1200" s="12">
        <f>AVERAGE(D321,D323)</f>
        <v>0</v>
      </c>
    </row>
    <row r="1201" ht="25.5" customHeight="1">
      <c r="A1201" s="4" t="s">
        <v>2086</v>
      </c>
      <c r="B1201" s="8"/>
      <c r="C1201" s="6" t="s">
        <v>218</v>
      </c>
      <c r="D1201" s="12">
        <f>AVERAGE(D1198,D1208,D1205,D2248,D2314)</f>
        <v>4.876416667</v>
      </c>
    </row>
    <row r="1202" ht="25.5" customHeight="1">
      <c r="A1202" s="4" t="s">
        <v>2087</v>
      </c>
      <c r="B1202" s="8"/>
      <c r="C1202" s="6" t="s">
        <v>2088</v>
      </c>
      <c r="D1202" s="7">
        <f>D2270+(((D2927-D2270)/10)*2)</f>
        <v>0</v>
      </c>
    </row>
    <row r="1203" ht="25.5" customHeight="1">
      <c r="A1203" s="4" t="s">
        <v>2089</v>
      </c>
      <c r="B1203" s="8"/>
      <c r="C1203" s="6" t="s">
        <v>2090</v>
      </c>
      <c r="D1203" s="12">
        <f>AVERAGE(D1214,D1199,D1211,D2848)</f>
        <v>0</v>
      </c>
    </row>
    <row r="1204" ht="25.5" customHeight="1">
      <c r="A1204" s="4" t="s">
        <v>2091</v>
      </c>
      <c r="B1204" s="8"/>
      <c r="C1204" s="6" t="s">
        <v>2092</v>
      </c>
      <c r="D1204" s="12">
        <f>D323</f>
        <v>0</v>
      </c>
    </row>
    <row r="1205" ht="25.5" customHeight="1">
      <c r="A1205" s="4" t="s">
        <v>2093</v>
      </c>
      <c r="B1205" s="8"/>
      <c r="C1205" s="6" t="s">
        <v>2094</v>
      </c>
      <c r="D1205" s="12">
        <f>D1216+(((D320-D1216)/3)*1)</f>
        <v>8.18</v>
      </c>
    </row>
    <row r="1206" ht="25.5" customHeight="1">
      <c r="A1206" s="4" t="s">
        <v>2095</v>
      </c>
      <c r="B1206" s="8"/>
      <c r="C1206" s="6" t="s">
        <v>2096</v>
      </c>
      <c r="D1206" s="12">
        <f>D1216+(((D3098-D1216)/4)*2)</f>
        <v>10.0136046</v>
      </c>
    </row>
    <row r="1207" ht="25.5" customHeight="1">
      <c r="A1207" s="4" t="s">
        <v>2097</v>
      </c>
      <c r="B1207" s="8"/>
      <c r="C1207" s="6" t="s">
        <v>2098</v>
      </c>
      <c r="D1207" s="7">
        <f>D2270+(((D2927-D2270)/10)*3)</f>
        <v>0</v>
      </c>
    </row>
    <row r="1208" ht="25.5" customHeight="1">
      <c r="A1208" s="4" t="s">
        <v>2099</v>
      </c>
      <c r="B1208" s="8"/>
      <c r="C1208" s="6" t="s">
        <v>259</v>
      </c>
      <c r="D1208" s="7">
        <f>D2270+(((D2927-D2270)/10)*5)</f>
        <v>0</v>
      </c>
    </row>
    <row r="1209" ht="25.5" customHeight="1">
      <c r="A1209" s="4" t="s">
        <v>2100</v>
      </c>
      <c r="B1209" s="8"/>
      <c r="C1209" s="6" t="s">
        <v>641</v>
      </c>
      <c r="D1209" s="12">
        <f>AVERAGE(D1202,D1212,D322,D321)</f>
        <v>0</v>
      </c>
    </row>
    <row r="1210" ht="25.5" customHeight="1">
      <c r="A1210" s="4" t="s">
        <v>2101</v>
      </c>
      <c r="B1210" s="8"/>
      <c r="C1210" s="6" t="s">
        <v>169</v>
      </c>
      <c r="D1210" s="12">
        <f>D1216+(((D320-D1216)/3)*2)</f>
        <v>4.09</v>
      </c>
    </row>
    <row r="1211" ht="25.5" customHeight="1">
      <c r="A1211" s="4" t="s">
        <v>2102</v>
      </c>
      <c r="B1211" s="8"/>
      <c r="C1211" s="6" t="s">
        <v>2103</v>
      </c>
      <c r="D1211" s="7">
        <f>D2270+(((D2927-D2270)/10)*6)</f>
        <v>0</v>
      </c>
    </row>
    <row r="1212" ht="25.5" customHeight="1">
      <c r="A1212" s="4" t="s">
        <v>2104</v>
      </c>
      <c r="B1212" s="8"/>
      <c r="C1212" s="6" t="s">
        <v>2105</v>
      </c>
      <c r="D1212" s="12">
        <f>AVERAGE(D1215,D1200,D321)</f>
        <v>0</v>
      </c>
    </row>
    <row r="1213" ht="25.5" customHeight="1">
      <c r="A1213" s="4" t="s">
        <v>2106</v>
      </c>
      <c r="B1213" s="8"/>
      <c r="C1213" s="6" t="s">
        <v>2107</v>
      </c>
      <c r="D1213" s="12">
        <f>AVERAGE(D1217,D1218,D2810)</f>
        <v>0</v>
      </c>
    </row>
    <row r="1214" ht="25.5" customHeight="1">
      <c r="A1214" s="4" t="s">
        <v>2108</v>
      </c>
      <c r="B1214" s="8"/>
      <c r="C1214" s="9" t="s">
        <v>2109</v>
      </c>
      <c r="D1214" s="12">
        <v>0.0</v>
      </c>
      <c r="E1214" s="10" t="s">
        <v>2110</v>
      </c>
    </row>
    <row r="1215" ht="25.5" customHeight="1">
      <c r="A1215" s="4" t="s">
        <v>2111</v>
      </c>
      <c r="B1215" s="8"/>
      <c r="C1215" s="6" t="s">
        <v>991</v>
      </c>
      <c r="D1215" s="12">
        <f>AVERAGE(D1200,D1204)</f>
        <v>0</v>
      </c>
    </row>
    <row r="1216" ht="25.5" customHeight="1">
      <c r="A1216" s="4" t="s">
        <v>2112</v>
      </c>
      <c r="B1216" s="8"/>
      <c r="C1216" s="9" t="s">
        <v>197</v>
      </c>
      <c r="D1216" s="12">
        <v>12.27</v>
      </c>
      <c r="E1216" s="10" t="s">
        <v>2113</v>
      </c>
    </row>
    <row r="1217" ht="25.5" customHeight="1">
      <c r="A1217" s="4" t="s">
        <v>2114</v>
      </c>
      <c r="B1217" s="8"/>
      <c r="C1217" s="6" t="s">
        <v>2115</v>
      </c>
      <c r="D1217" s="12">
        <f>D1204</f>
        <v>0</v>
      </c>
    </row>
    <row r="1218" ht="25.5" customHeight="1">
      <c r="A1218" s="4" t="s">
        <v>2116</v>
      </c>
      <c r="B1218" s="11"/>
      <c r="C1218" s="6" t="s">
        <v>2071</v>
      </c>
      <c r="D1218" s="12">
        <f>D1217</f>
        <v>0</v>
      </c>
    </row>
    <row r="1219" ht="25.5" customHeight="1">
      <c r="A1219" s="4" t="s">
        <v>2117</v>
      </c>
      <c r="B1219" s="5" t="s">
        <v>2118</v>
      </c>
      <c r="C1219" s="9" t="s">
        <v>2119</v>
      </c>
      <c r="D1219" s="12">
        <v>58.65</v>
      </c>
      <c r="E1219" s="10" t="s">
        <v>2120</v>
      </c>
    </row>
    <row r="1220" ht="25.5" customHeight="1">
      <c r="A1220" s="4" t="s">
        <v>2121</v>
      </c>
      <c r="B1220" s="8"/>
      <c r="C1220" s="6" t="s">
        <v>2122</v>
      </c>
      <c r="D1220" s="12">
        <f>D1228</f>
        <v>0</v>
      </c>
    </row>
    <row r="1221" ht="25.5" customHeight="1">
      <c r="A1221" s="4" t="s">
        <v>2123</v>
      </c>
      <c r="B1221" s="8"/>
      <c r="C1221" s="9" t="s">
        <v>1315</v>
      </c>
      <c r="D1221" s="12">
        <v>0.0</v>
      </c>
      <c r="E1221" s="10" t="s">
        <v>2124</v>
      </c>
    </row>
    <row r="1222" ht="25.5" customHeight="1">
      <c r="A1222" s="4" t="s">
        <v>2125</v>
      </c>
      <c r="B1222" s="8"/>
      <c r="C1222" s="6" t="s">
        <v>126</v>
      </c>
      <c r="D1222" s="12">
        <f>AVERAGE(D1231,D1224,D1219)</f>
        <v>39.1</v>
      </c>
    </row>
    <row r="1223" ht="25.5" customHeight="1">
      <c r="A1223" s="4" t="s">
        <v>2126</v>
      </c>
      <c r="B1223" s="8"/>
      <c r="C1223" s="6" t="s">
        <v>896</v>
      </c>
      <c r="D1223" s="12">
        <f>AVERAGE(D1232,D1228)</f>
        <v>9.775</v>
      </c>
    </row>
    <row r="1224" ht="25.5" customHeight="1">
      <c r="A1224" s="4" t="s">
        <v>2127</v>
      </c>
      <c r="B1224" s="8"/>
      <c r="C1224" s="6" t="s">
        <v>2128</v>
      </c>
      <c r="D1224" s="12">
        <f>D1228+(((D1219-D1228)/3)*2)</f>
        <v>39.1</v>
      </c>
    </row>
    <row r="1225" ht="25.5" customHeight="1">
      <c r="A1225" s="4" t="s">
        <v>2129</v>
      </c>
      <c r="B1225" s="8"/>
      <c r="C1225" s="6" t="s">
        <v>1362</v>
      </c>
      <c r="D1225" s="12">
        <f>AVERAGE(D1226,D1232)</f>
        <v>19.55</v>
      </c>
    </row>
    <row r="1226" ht="25.5" customHeight="1">
      <c r="A1226" s="4" t="s">
        <v>2130</v>
      </c>
      <c r="B1226" s="8"/>
      <c r="C1226" s="6" t="s">
        <v>273</v>
      </c>
      <c r="D1226" s="12">
        <f>AVERAGE(D1230,D1224)</f>
        <v>19.55</v>
      </c>
    </row>
    <row r="1227" ht="25.5" customHeight="1">
      <c r="A1227" s="4" t="s">
        <v>2131</v>
      </c>
      <c r="B1227" s="8"/>
      <c r="C1227" s="6" t="s">
        <v>2132</v>
      </c>
      <c r="D1227" s="12">
        <f>AVERAGE(D1222,D1219,D1221,D1234,D1905)</f>
        <v>21.49601905</v>
      </c>
    </row>
    <row r="1228" ht="25.5" customHeight="1">
      <c r="A1228" s="4" t="s">
        <v>2133</v>
      </c>
      <c r="B1228" s="8"/>
      <c r="C1228" s="9" t="s">
        <v>2134</v>
      </c>
      <c r="D1228" s="12">
        <v>0.0</v>
      </c>
      <c r="E1228" s="10" t="s">
        <v>2135</v>
      </c>
    </row>
    <row r="1229" ht="25.5" customHeight="1">
      <c r="A1229" s="4" t="s">
        <v>2136</v>
      </c>
      <c r="B1229" s="8"/>
      <c r="C1229" s="6" t="s">
        <v>2137</v>
      </c>
      <c r="D1229" s="12">
        <f>D1228</f>
        <v>0</v>
      </c>
    </row>
    <row r="1230" ht="25.5" customHeight="1">
      <c r="A1230" s="4" t="s">
        <v>2138</v>
      </c>
      <c r="B1230" s="8"/>
      <c r="C1230" s="6" t="s">
        <v>2139</v>
      </c>
      <c r="D1230" s="12">
        <f>D1221+(((D1228-D1221)/4)*1)</f>
        <v>0</v>
      </c>
    </row>
    <row r="1231" ht="25.5" customHeight="1">
      <c r="A1231" s="4" t="s">
        <v>2140</v>
      </c>
      <c r="B1231" s="8"/>
      <c r="C1231" s="6" t="s">
        <v>2107</v>
      </c>
      <c r="D1231" s="12">
        <f>D1228+(((D1219-D1228)/3)*1)</f>
        <v>19.55</v>
      </c>
    </row>
    <row r="1232" ht="25.5" customHeight="1">
      <c r="A1232" s="4" t="s">
        <v>2141</v>
      </c>
      <c r="B1232" s="8"/>
      <c r="C1232" s="6" t="s">
        <v>2142</v>
      </c>
      <c r="D1232" s="12">
        <f>AVERAGE(D1224,D1228)</f>
        <v>19.55</v>
      </c>
    </row>
    <row r="1233" ht="25.5" customHeight="1">
      <c r="A1233" s="4" t="s">
        <v>2143</v>
      </c>
      <c r="B1233" s="8"/>
      <c r="C1233" s="6" t="s">
        <v>197</v>
      </c>
      <c r="D1233" s="12">
        <f>AVERAGE(D1223,D1228)</f>
        <v>4.8875</v>
      </c>
    </row>
    <row r="1234" ht="25.5" customHeight="1">
      <c r="A1234" s="4" t="s">
        <v>2144</v>
      </c>
      <c r="B1234" s="11"/>
      <c r="C1234" s="6" t="s">
        <v>2145</v>
      </c>
      <c r="D1234" s="12">
        <f>D1221+(((D1189-D1221)/4)*1)</f>
        <v>3.51</v>
      </c>
    </row>
    <row r="1235" ht="25.5" customHeight="1">
      <c r="A1235" s="4" t="s">
        <v>2146</v>
      </c>
      <c r="B1235" s="5" t="s">
        <v>2147</v>
      </c>
      <c r="C1235" s="6" t="s">
        <v>2148</v>
      </c>
      <c r="D1235" s="12">
        <f>AVERAGE(D1302,D1269)</f>
        <v>15.86375</v>
      </c>
    </row>
    <row r="1236" ht="25.5" customHeight="1">
      <c r="A1236" s="4" t="s">
        <v>2149</v>
      </c>
      <c r="B1236" s="8"/>
      <c r="C1236" s="6" t="s">
        <v>2150</v>
      </c>
      <c r="D1236" s="12">
        <f>AVERAGE(D1309,D1282)</f>
        <v>0</v>
      </c>
    </row>
    <row r="1237" ht="25.5" customHeight="1">
      <c r="A1237" s="4" t="s">
        <v>2151</v>
      </c>
      <c r="B1237" s="8"/>
      <c r="C1237" s="6" t="s">
        <v>2152</v>
      </c>
      <c r="D1237" s="12">
        <f>AVERAGE(D1304,D1314)</f>
        <v>4.991932684</v>
      </c>
    </row>
    <row r="1238" ht="25.5" customHeight="1">
      <c r="A1238" s="4" t="s">
        <v>2153</v>
      </c>
      <c r="B1238" s="8"/>
      <c r="C1238" s="6" t="s">
        <v>2154</v>
      </c>
      <c r="D1238" s="12">
        <f>AVERAGE(D1305,D1294)</f>
        <v>0</v>
      </c>
    </row>
    <row r="1239" ht="25.5" customHeight="1">
      <c r="A1239" s="4" t="s">
        <v>2155</v>
      </c>
      <c r="B1239" s="8"/>
      <c r="C1239" s="6" t="s">
        <v>2156</v>
      </c>
      <c r="D1239" s="12">
        <f>AVERAGE(D1303,D1274,D1262)</f>
        <v>0</v>
      </c>
    </row>
    <row r="1240" ht="25.5" customHeight="1">
      <c r="A1240" s="4" t="s">
        <v>2157</v>
      </c>
      <c r="B1240" s="8"/>
      <c r="C1240" s="6" t="s">
        <v>2158</v>
      </c>
      <c r="D1240" s="12">
        <f>D1254+(((D1243-D1254)/4)*3)</f>
        <v>27.195</v>
      </c>
    </row>
    <row r="1241" ht="25.5" customHeight="1">
      <c r="A1241" s="4" t="s">
        <v>2159</v>
      </c>
      <c r="B1241" s="8"/>
      <c r="C1241" s="6" t="s">
        <v>2160</v>
      </c>
      <c r="D1241" s="12">
        <f>AVERAGE(D1270,D1286)</f>
        <v>0.9637601786</v>
      </c>
    </row>
    <row r="1242" ht="25.5" customHeight="1">
      <c r="A1242" s="4" t="s">
        <v>2161</v>
      </c>
      <c r="B1242" s="8"/>
      <c r="C1242" s="6" t="s">
        <v>2162</v>
      </c>
      <c r="D1242" s="12">
        <f>AVERAGE(D1275,D1268,D1247,D1273,D1237)</f>
        <v>5.728776104</v>
      </c>
    </row>
    <row r="1243" ht="25.5" customHeight="1">
      <c r="A1243" s="4" t="s">
        <v>2163</v>
      </c>
      <c r="B1243" s="8"/>
      <c r="C1243" s="6" t="s">
        <v>653</v>
      </c>
      <c r="D1243" s="12">
        <f>D1290</f>
        <v>36.26</v>
      </c>
    </row>
    <row r="1244" ht="25.5" customHeight="1">
      <c r="A1244" s="4" t="s">
        <v>2164</v>
      </c>
      <c r="B1244" s="8"/>
      <c r="C1244" s="6" t="s">
        <v>2165</v>
      </c>
      <c r="D1244" s="12">
        <f>D1262</f>
        <v>0</v>
      </c>
    </row>
    <row r="1245" ht="25.5" customHeight="1">
      <c r="A1245" s="4" t="s">
        <v>2166</v>
      </c>
      <c r="B1245" s="8"/>
      <c r="C1245" s="6" t="s">
        <v>786</v>
      </c>
      <c r="D1245" s="12">
        <f>D845+(((D1247-D845)/4)*1)</f>
        <v>2.861570779</v>
      </c>
    </row>
    <row r="1246" ht="25.5" customHeight="1">
      <c r="A1246" s="4" t="s">
        <v>2167</v>
      </c>
      <c r="B1246" s="8"/>
      <c r="C1246" s="6" t="s">
        <v>2168</v>
      </c>
      <c r="D1246" s="12">
        <f>D1272+(((D828-D1272)/11)*2)</f>
        <v>7.595909091</v>
      </c>
    </row>
    <row r="1247" ht="25.5" customHeight="1">
      <c r="A1247" s="4" t="s">
        <v>2169</v>
      </c>
      <c r="B1247" s="8"/>
      <c r="C1247" s="6" t="s">
        <v>82</v>
      </c>
      <c r="D1247" s="12">
        <f>D1272+(((D828-D1272)/11)*1)</f>
        <v>7.476454545</v>
      </c>
    </row>
    <row r="1248" ht="25.5" customHeight="1">
      <c r="A1248" s="4" t="s">
        <v>2170</v>
      </c>
      <c r="B1248" s="8"/>
      <c r="C1248" s="6" t="s">
        <v>1079</v>
      </c>
      <c r="D1248" s="12">
        <f>AVERAGE(D1314,D1245,D873,D819)</f>
        <v>2.458306006</v>
      </c>
    </row>
    <row r="1249" ht="25.5" customHeight="1">
      <c r="A1249" s="4" t="s">
        <v>2171</v>
      </c>
      <c r="B1249" s="8"/>
      <c r="C1249" s="6" t="s">
        <v>2172</v>
      </c>
      <c r="D1249" s="12">
        <f>AVERAGE(D1250,D1303)</f>
        <v>0</v>
      </c>
    </row>
    <row r="1250" ht="25.5" customHeight="1">
      <c r="A1250" s="4" t="s">
        <v>2173</v>
      </c>
      <c r="B1250" s="8"/>
      <c r="C1250" s="6" t="s">
        <v>2174</v>
      </c>
      <c r="D1250" s="12">
        <f>D1254</f>
        <v>0</v>
      </c>
    </row>
    <row r="1251" ht="25.5" customHeight="1">
      <c r="A1251" s="4" t="s">
        <v>2175</v>
      </c>
      <c r="B1251" s="8"/>
      <c r="C1251" s="6" t="s">
        <v>2176</v>
      </c>
      <c r="D1251" s="12">
        <f>D1254</f>
        <v>0</v>
      </c>
    </row>
    <row r="1252" ht="25.5" customHeight="1">
      <c r="A1252" s="4" t="s">
        <v>2177</v>
      </c>
      <c r="B1252" s="8"/>
      <c r="C1252" s="6" t="s">
        <v>2178</v>
      </c>
      <c r="D1252" s="12">
        <f>AVERAGE(D1306,D1271)</f>
        <v>22.6625</v>
      </c>
    </row>
    <row r="1253" ht="25.5" customHeight="1">
      <c r="A1253" s="4" t="s">
        <v>2179</v>
      </c>
      <c r="B1253" s="8"/>
      <c r="C1253" s="6" t="s">
        <v>1091</v>
      </c>
      <c r="D1253" s="12">
        <f>D1275+(((D1284-D1275)/6)*2)</f>
        <v>3.722666667</v>
      </c>
    </row>
    <row r="1254" ht="25.5" customHeight="1">
      <c r="A1254" s="4" t="s">
        <v>2180</v>
      </c>
      <c r="B1254" s="8"/>
      <c r="C1254" s="6" t="s">
        <v>234</v>
      </c>
      <c r="D1254" s="12">
        <f>D1274</f>
        <v>0</v>
      </c>
    </row>
    <row r="1255" ht="25.5" customHeight="1">
      <c r="A1255" s="4" t="s">
        <v>2181</v>
      </c>
      <c r="B1255" s="8"/>
      <c r="C1255" s="6" t="s">
        <v>529</v>
      </c>
      <c r="D1255" s="12">
        <f>D1309</f>
        <v>0</v>
      </c>
    </row>
    <row r="1256" ht="25.5" customHeight="1">
      <c r="A1256" s="4" t="s">
        <v>2182</v>
      </c>
      <c r="B1256" s="8"/>
      <c r="C1256" s="6" t="s">
        <v>1102</v>
      </c>
      <c r="D1256" s="12">
        <f>D3033</f>
        <v>3.855040714</v>
      </c>
    </row>
    <row r="1257" ht="25.5" customHeight="1">
      <c r="A1257" s="4" t="s">
        <v>2183</v>
      </c>
      <c r="B1257" s="8"/>
      <c r="C1257" s="6" t="s">
        <v>2184</v>
      </c>
      <c r="D1257" s="12">
        <f>AVERAGE(D1268,D1253,D1267,D1272,D1247)</f>
        <v>5.200290909</v>
      </c>
    </row>
    <row r="1258" ht="25.5" customHeight="1">
      <c r="A1258" s="4" t="s">
        <v>2185</v>
      </c>
      <c r="B1258" s="8"/>
      <c r="C1258" s="6" t="s">
        <v>1106</v>
      </c>
      <c r="D1258" s="12">
        <f>D1250</f>
        <v>0</v>
      </c>
    </row>
    <row r="1259" ht="25.5" customHeight="1">
      <c r="A1259" s="4" t="s">
        <v>2186</v>
      </c>
      <c r="B1259" s="8"/>
      <c r="C1259" s="6" t="s">
        <v>2187</v>
      </c>
      <c r="D1259" s="12">
        <f>D1267+(((D1284-D1267)/5)*2)</f>
        <v>1.6752</v>
      </c>
    </row>
    <row r="1260" ht="25.5" customHeight="1">
      <c r="A1260" s="4" t="s">
        <v>2188</v>
      </c>
      <c r="B1260" s="8"/>
      <c r="C1260" s="6" t="s">
        <v>2189</v>
      </c>
      <c r="D1260" s="12">
        <f>AVERAGE(D1306,D1299,D1240,D1243,D1290)</f>
        <v>25.382</v>
      </c>
    </row>
    <row r="1261" ht="25.5" customHeight="1">
      <c r="A1261" s="4" t="s">
        <v>2190</v>
      </c>
      <c r="B1261" s="8"/>
      <c r="C1261" s="6" t="s">
        <v>2191</v>
      </c>
      <c r="D1261" s="12">
        <f>AVERAGE(D1270,D3059,D3021)</f>
        <v>3.892424087</v>
      </c>
    </row>
    <row r="1262" ht="25.5" customHeight="1">
      <c r="A1262" s="4" t="s">
        <v>2192</v>
      </c>
      <c r="B1262" s="8"/>
      <c r="C1262" s="9" t="s">
        <v>2193</v>
      </c>
      <c r="D1262" s="12">
        <v>0.0</v>
      </c>
      <c r="E1262" s="10" t="s">
        <v>2194</v>
      </c>
    </row>
    <row r="1263" ht="25.5" customHeight="1">
      <c r="A1263" s="4" t="s">
        <v>2195</v>
      </c>
      <c r="B1263" s="8"/>
      <c r="C1263" s="6" t="s">
        <v>2196</v>
      </c>
      <c r="D1263" s="12">
        <f>AVERAGE(D1271,D1290,D1307,D1253)</f>
        <v>23.80256667</v>
      </c>
    </row>
    <row r="1264" ht="25.5" customHeight="1">
      <c r="A1264" s="4" t="s">
        <v>2197</v>
      </c>
      <c r="B1264" s="8"/>
      <c r="C1264" s="6" t="s">
        <v>2198</v>
      </c>
      <c r="D1264" s="12">
        <f>AVERAGE(D1272,D1247,D1246,D2132)</f>
        <v>7.225108412</v>
      </c>
    </row>
    <row r="1265" ht="25.5" customHeight="1">
      <c r="A1265" s="4" t="s">
        <v>2199</v>
      </c>
      <c r="B1265" s="8"/>
      <c r="C1265" s="6" t="s">
        <v>2200</v>
      </c>
      <c r="D1265" s="12">
        <f>D1270</f>
        <v>1.927520357</v>
      </c>
    </row>
    <row r="1266" ht="25.5" customHeight="1">
      <c r="A1266" s="4" t="s">
        <v>2201</v>
      </c>
      <c r="B1266" s="8"/>
      <c r="C1266" s="6" t="s">
        <v>2202</v>
      </c>
      <c r="D1266" s="12">
        <f>AVERAGE(D1313,D1308)</f>
        <v>7.67125</v>
      </c>
    </row>
    <row r="1267" ht="25.5" customHeight="1">
      <c r="A1267" s="4" t="s">
        <v>2203</v>
      </c>
      <c r="B1267" s="8"/>
      <c r="C1267" s="6" t="s">
        <v>2204</v>
      </c>
      <c r="D1267" s="12">
        <f>D1275+(((D1284-D1275)/6)*3)</f>
        <v>2.792</v>
      </c>
    </row>
    <row r="1268" ht="25.5" customHeight="1">
      <c r="A1268" s="4" t="s">
        <v>2205</v>
      </c>
      <c r="B1268" s="8"/>
      <c r="C1268" s="6" t="s">
        <v>2206</v>
      </c>
      <c r="D1268" s="12">
        <f>D1275+(((D1284-D1275)/6)*1)</f>
        <v>4.653333333</v>
      </c>
    </row>
    <row r="1269" ht="25.5" customHeight="1">
      <c r="A1269" s="4" t="s">
        <v>2207</v>
      </c>
      <c r="B1269" s="8"/>
      <c r="C1269" s="6" t="s">
        <v>2208</v>
      </c>
      <c r="D1269" s="12">
        <f>AVERAGE(D1299,D1240)</f>
        <v>22.6625</v>
      </c>
    </row>
    <row r="1270" ht="25.5" customHeight="1">
      <c r="A1270" s="4" t="s">
        <v>2209</v>
      </c>
      <c r="B1270" s="8"/>
      <c r="C1270" s="6" t="s">
        <v>2210</v>
      </c>
      <c r="D1270" s="12">
        <f>D3016</f>
        <v>1.927520357</v>
      </c>
    </row>
    <row r="1271" ht="25.5" customHeight="1">
      <c r="A1271" s="4" t="s">
        <v>2211</v>
      </c>
      <c r="B1271" s="8"/>
      <c r="C1271" s="9" t="s">
        <v>2212</v>
      </c>
      <c r="D1271" s="12">
        <v>36.26</v>
      </c>
      <c r="E1271" s="10" t="s">
        <v>2213</v>
      </c>
    </row>
    <row r="1272" ht="25.5" customHeight="1">
      <c r="A1272" s="4" t="s">
        <v>2214</v>
      </c>
      <c r="B1272" s="8"/>
      <c r="C1272" s="9" t="s">
        <v>138</v>
      </c>
      <c r="D1272" s="12">
        <v>7.357</v>
      </c>
      <c r="E1272" s="10" t="s">
        <v>138</v>
      </c>
    </row>
    <row r="1273" ht="25.5" customHeight="1">
      <c r="A1273" s="4" t="s">
        <v>2215</v>
      </c>
      <c r="B1273" s="8"/>
      <c r="C1273" s="6" t="s">
        <v>2216</v>
      </c>
      <c r="D1273" s="12">
        <f>D845+(((D1247-D845)/4)*3)</f>
        <v>5.938159957</v>
      </c>
    </row>
    <row r="1274" ht="25.5" customHeight="1">
      <c r="A1274" s="4" t="s">
        <v>2217</v>
      </c>
      <c r="B1274" s="8"/>
      <c r="C1274" s="6" t="s">
        <v>2218</v>
      </c>
      <c r="D1274" s="12">
        <f>D1262</f>
        <v>0</v>
      </c>
    </row>
    <row r="1275" ht="25.5" customHeight="1">
      <c r="A1275" s="4" t="s">
        <v>2219</v>
      </c>
      <c r="B1275" s="8"/>
      <c r="C1275" s="9" t="s">
        <v>641</v>
      </c>
      <c r="D1275" s="12">
        <v>5.584</v>
      </c>
      <c r="E1275" s="10" t="s">
        <v>2220</v>
      </c>
    </row>
    <row r="1276" ht="25.5" customHeight="1">
      <c r="A1276" s="4" t="s">
        <v>2221</v>
      </c>
      <c r="B1276" s="8"/>
      <c r="C1276" s="6" t="s">
        <v>2222</v>
      </c>
      <c r="D1276" s="12">
        <f>D1265</f>
        <v>1.927520357</v>
      </c>
    </row>
    <row r="1277" ht="25.5" customHeight="1">
      <c r="A1277" s="4" t="s">
        <v>2223</v>
      </c>
      <c r="B1277" s="8"/>
      <c r="C1277" s="6" t="s">
        <v>402</v>
      </c>
      <c r="D1277" s="12">
        <f>AVERAGE(D1317,D1296)</f>
        <v>2.792</v>
      </c>
    </row>
    <row r="1278" ht="25.5" customHeight="1">
      <c r="A1278" s="4" t="s">
        <v>2224</v>
      </c>
      <c r="B1278" s="8"/>
      <c r="C1278" s="6" t="s">
        <v>2225</v>
      </c>
      <c r="D1278" s="12">
        <f>D1267+(((D1284-D1267)/5)*3)</f>
        <v>1.1168</v>
      </c>
    </row>
    <row r="1279" ht="25.5" customHeight="1">
      <c r="A1279" s="4" t="s">
        <v>2226</v>
      </c>
      <c r="B1279" s="8"/>
      <c r="C1279" s="6" t="s">
        <v>2227</v>
      </c>
      <c r="D1279" s="12">
        <f>D1262</f>
        <v>0</v>
      </c>
    </row>
    <row r="1280" ht="25.5" customHeight="1">
      <c r="A1280" s="4" t="s">
        <v>2228</v>
      </c>
      <c r="B1280" s="8"/>
      <c r="C1280" s="6" t="s">
        <v>2229</v>
      </c>
      <c r="D1280" s="12">
        <f>AVERAGE(D1272,D1315,D1292,D2094,D2072)</f>
        <v>5.592500104</v>
      </c>
    </row>
    <row r="1281" ht="25.5" customHeight="1">
      <c r="A1281" s="4" t="s">
        <v>2230</v>
      </c>
      <c r="B1281" s="8"/>
      <c r="C1281" s="6" t="s">
        <v>1369</v>
      </c>
      <c r="D1281" s="12">
        <f>D1275+(((D1284-D1275)/6)*4)</f>
        <v>1.861333333</v>
      </c>
    </row>
    <row r="1282" ht="25.5" customHeight="1">
      <c r="A1282" s="4" t="s">
        <v>2231</v>
      </c>
      <c r="B1282" s="8"/>
      <c r="C1282" s="6" t="s">
        <v>2232</v>
      </c>
      <c r="D1282" s="12">
        <f>AVERAGE(D1283,D1251)</f>
        <v>0</v>
      </c>
    </row>
    <row r="1283" ht="25.5" customHeight="1">
      <c r="A1283" s="4" t="s">
        <v>2233</v>
      </c>
      <c r="B1283" s="8"/>
      <c r="C1283" s="6" t="s">
        <v>2234</v>
      </c>
      <c r="D1283" s="12">
        <f>D1254</f>
        <v>0</v>
      </c>
    </row>
    <row r="1284" ht="25.5" customHeight="1">
      <c r="A1284" s="4" t="s">
        <v>2235</v>
      </c>
      <c r="B1284" s="8"/>
      <c r="C1284" s="9" t="s">
        <v>2236</v>
      </c>
      <c r="D1284" s="12">
        <v>0.0</v>
      </c>
      <c r="E1284" s="10" t="s">
        <v>1025</v>
      </c>
    </row>
    <row r="1285" ht="25.5" customHeight="1">
      <c r="A1285" s="4" t="s">
        <v>2237</v>
      </c>
      <c r="B1285" s="8"/>
      <c r="C1285" s="6" t="s">
        <v>2238</v>
      </c>
      <c r="D1285" s="12">
        <f>AVERAGE(D1244,D1317)</f>
        <v>0</v>
      </c>
    </row>
    <row r="1286" ht="25.5" customHeight="1">
      <c r="A1286" s="4" t="s">
        <v>2239</v>
      </c>
      <c r="B1286" s="8"/>
      <c r="C1286" s="6" t="s">
        <v>2240</v>
      </c>
      <c r="D1286" s="12">
        <f>AVERAGE(D1255,D1236)</f>
        <v>0</v>
      </c>
    </row>
    <row r="1287" ht="25.5" customHeight="1">
      <c r="A1287" s="4" t="s">
        <v>2241</v>
      </c>
      <c r="B1287" s="8"/>
      <c r="C1287" s="6" t="s">
        <v>1378</v>
      </c>
      <c r="D1287" s="12">
        <f>D1298</f>
        <v>5.584</v>
      </c>
    </row>
    <row r="1288" ht="25.5" customHeight="1">
      <c r="A1288" s="4" t="s">
        <v>2242</v>
      </c>
      <c r="B1288" s="8"/>
      <c r="C1288" s="6" t="s">
        <v>2243</v>
      </c>
      <c r="D1288" s="12">
        <f>D1271</f>
        <v>36.26</v>
      </c>
    </row>
    <row r="1289" ht="25.5" customHeight="1">
      <c r="A1289" s="4" t="s">
        <v>2244</v>
      </c>
      <c r="B1289" s="8"/>
      <c r="C1289" s="6" t="s">
        <v>2245</v>
      </c>
      <c r="D1289" s="12">
        <f>AVERAGE(D1255,D3033)</f>
        <v>1.927520357</v>
      </c>
    </row>
    <row r="1290" ht="25.5" customHeight="1">
      <c r="A1290" s="4" t="s">
        <v>2246</v>
      </c>
      <c r="B1290" s="8"/>
      <c r="C1290" s="6" t="s">
        <v>2247</v>
      </c>
      <c r="D1290" s="12">
        <f>D1271</f>
        <v>36.26</v>
      </c>
    </row>
    <row r="1291" ht="25.5" customHeight="1">
      <c r="A1291" s="4" t="s">
        <v>2248</v>
      </c>
      <c r="B1291" s="8"/>
      <c r="C1291" s="6" t="s">
        <v>2249</v>
      </c>
      <c r="D1291" s="12">
        <f>AVERAGE(D1274,D1306)</f>
        <v>4.5325</v>
      </c>
    </row>
    <row r="1292" ht="25.5" customHeight="1">
      <c r="A1292" s="4" t="s">
        <v>2250</v>
      </c>
      <c r="B1292" s="8"/>
      <c r="C1292" s="6" t="s">
        <v>167</v>
      </c>
      <c r="D1292" s="12">
        <f>D1316+(((D2464-D1316)/29)*1)</f>
        <v>3.872241379</v>
      </c>
    </row>
    <row r="1293" ht="25.5" customHeight="1">
      <c r="A1293" s="4" t="s">
        <v>2251</v>
      </c>
      <c r="B1293" s="8"/>
      <c r="C1293" s="6" t="s">
        <v>2252</v>
      </c>
      <c r="D1293" s="12">
        <f>AVERAGE(D1271,D1268,D1275)</f>
        <v>15.49911111</v>
      </c>
    </row>
    <row r="1294" ht="25.5" customHeight="1">
      <c r="A1294" s="4" t="s">
        <v>2253</v>
      </c>
      <c r="B1294" s="8"/>
      <c r="C1294" s="6" t="s">
        <v>2254</v>
      </c>
      <c r="D1294" s="12">
        <f>AVERAGE(D1250,D1303)</f>
        <v>0</v>
      </c>
    </row>
    <row r="1295" ht="25.5" customHeight="1">
      <c r="A1295" s="4" t="s">
        <v>2255</v>
      </c>
      <c r="B1295" s="8"/>
      <c r="C1295" s="6" t="s">
        <v>2256</v>
      </c>
      <c r="D1295" s="12">
        <f>D1304</f>
        <v>5.584</v>
      </c>
    </row>
    <row r="1296" ht="25.5" customHeight="1">
      <c r="A1296" s="4" t="s">
        <v>2257</v>
      </c>
      <c r="B1296" s="8"/>
      <c r="C1296" s="6" t="s">
        <v>2258</v>
      </c>
      <c r="D1296" s="12">
        <f>AVERAGE(D1275,D1295)</f>
        <v>5.584</v>
      </c>
    </row>
    <row r="1297" ht="25.5" customHeight="1">
      <c r="A1297" s="4" t="s">
        <v>2259</v>
      </c>
      <c r="B1297" s="8"/>
      <c r="C1297" s="6" t="s">
        <v>2260</v>
      </c>
      <c r="D1297" s="12">
        <f>D1275+(((D1284-D1275)/6)*5)</f>
        <v>0.9306666667</v>
      </c>
    </row>
    <row r="1298" ht="25.5" customHeight="1">
      <c r="A1298" s="4" t="s">
        <v>2261</v>
      </c>
      <c r="B1298" s="8"/>
      <c r="C1298" s="6" t="s">
        <v>2262</v>
      </c>
      <c r="D1298" s="12">
        <f>D1295</f>
        <v>5.584</v>
      </c>
    </row>
    <row r="1299" ht="25.5" customHeight="1">
      <c r="A1299" s="4" t="s">
        <v>2263</v>
      </c>
      <c r="B1299" s="8"/>
      <c r="C1299" s="6" t="s">
        <v>2264</v>
      </c>
      <c r="D1299" s="12">
        <f>D1254+(((D1243-D1254)/4)*2)</f>
        <v>18.13</v>
      </c>
    </row>
    <row r="1300" ht="25.5" customHeight="1">
      <c r="A1300" s="4" t="s">
        <v>2265</v>
      </c>
      <c r="B1300" s="8"/>
      <c r="C1300" s="6" t="s">
        <v>2266</v>
      </c>
      <c r="D1300" s="12">
        <f>D1270</f>
        <v>1.927520357</v>
      </c>
    </row>
    <row r="1301" ht="25.5" customHeight="1">
      <c r="A1301" s="4" t="s">
        <v>2267</v>
      </c>
      <c r="B1301" s="8"/>
      <c r="C1301" s="6" t="s">
        <v>735</v>
      </c>
      <c r="D1301" s="12">
        <f>AVERAGE(D1317,D1291,D1252,D1288)</f>
        <v>15.86375</v>
      </c>
    </row>
    <row r="1302" ht="25.5" customHeight="1">
      <c r="A1302" s="4" t="s">
        <v>2268</v>
      </c>
      <c r="B1302" s="8"/>
      <c r="C1302" s="6" t="s">
        <v>2269</v>
      </c>
      <c r="D1302" s="12">
        <f>AVERAGE(D1254,D1299)</f>
        <v>9.065</v>
      </c>
    </row>
    <row r="1303" ht="25.5" customHeight="1">
      <c r="A1303" s="4" t="s">
        <v>2270</v>
      </c>
      <c r="B1303" s="8"/>
      <c r="C1303" s="6" t="s">
        <v>2271</v>
      </c>
      <c r="D1303" s="12">
        <f>D1254</f>
        <v>0</v>
      </c>
    </row>
    <row r="1304" ht="25.5" customHeight="1">
      <c r="A1304" s="4" t="s">
        <v>2272</v>
      </c>
      <c r="B1304" s="8"/>
      <c r="C1304" s="9" t="s">
        <v>1692</v>
      </c>
      <c r="D1304" s="12">
        <f>D1275</f>
        <v>5.584</v>
      </c>
      <c r="E1304" s="13" t="s">
        <v>2220</v>
      </c>
    </row>
    <row r="1305" ht="25.5" customHeight="1">
      <c r="A1305" s="4" t="s">
        <v>2273</v>
      </c>
      <c r="B1305" s="8"/>
      <c r="C1305" s="6" t="s">
        <v>2274</v>
      </c>
      <c r="D1305" s="12">
        <f>D1250</f>
        <v>0</v>
      </c>
    </row>
    <row r="1306" ht="25.5" customHeight="1">
      <c r="A1306" s="4" t="s">
        <v>2275</v>
      </c>
      <c r="B1306" s="8"/>
      <c r="C1306" s="6" t="s">
        <v>2276</v>
      </c>
      <c r="D1306" s="12">
        <f>D1254+(((D1243-D1254)/4)*1)</f>
        <v>9.065</v>
      </c>
    </row>
    <row r="1307" ht="25.5" customHeight="1">
      <c r="A1307" s="4" t="s">
        <v>2277</v>
      </c>
      <c r="B1307" s="8"/>
      <c r="C1307" s="6" t="s">
        <v>2278</v>
      </c>
      <c r="D1307" s="12">
        <f>AVERAGE(D1243,D1259)</f>
        <v>18.9676</v>
      </c>
    </row>
    <row r="1308" ht="25.5" customHeight="1">
      <c r="A1308" s="4" t="s">
        <v>2279</v>
      </c>
      <c r="B1308" s="8"/>
      <c r="C1308" s="6" t="s">
        <v>2280</v>
      </c>
      <c r="D1308" s="12">
        <f>AVERAGE(D1278,D1311)</f>
        <v>0.8376</v>
      </c>
    </row>
    <row r="1309" ht="25.5" customHeight="1">
      <c r="A1309" s="4" t="s">
        <v>2281</v>
      </c>
      <c r="B1309" s="8"/>
      <c r="C1309" s="6" t="s">
        <v>2282</v>
      </c>
      <c r="D1309" s="12">
        <f>D1283</f>
        <v>0</v>
      </c>
    </row>
    <row r="1310" ht="25.5" customHeight="1">
      <c r="A1310" s="4" t="s">
        <v>2283</v>
      </c>
      <c r="B1310" s="8"/>
      <c r="C1310" s="6" t="s">
        <v>2284</v>
      </c>
      <c r="D1310" s="12">
        <f>D1267+(((D1284-D1267)/5)*1)</f>
        <v>2.2336</v>
      </c>
    </row>
    <row r="1311" ht="25.5" customHeight="1">
      <c r="A1311" s="4" t="s">
        <v>2285</v>
      </c>
      <c r="B1311" s="8"/>
      <c r="C1311" s="6" t="s">
        <v>185</v>
      </c>
      <c r="D1311" s="12">
        <f>D1267+(((D1284-D1267)/5)*4)</f>
        <v>0.5584</v>
      </c>
    </row>
    <row r="1312" ht="25.5" customHeight="1">
      <c r="A1312" s="4" t="s">
        <v>2286</v>
      </c>
      <c r="B1312" s="8"/>
      <c r="C1312" s="6" t="s">
        <v>1546</v>
      </c>
      <c r="D1312" s="12">
        <f>AVERAGE(D1273,D1246,D843,D819)</f>
        <v>5.312358171</v>
      </c>
    </row>
    <row r="1313" ht="25.5" customHeight="1">
      <c r="A1313" s="4" t="s">
        <v>2287</v>
      </c>
      <c r="B1313" s="8"/>
      <c r="C1313" s="6" t="s">
        <v>2288</v>
      </c>
      <c r="D1313" s="12">
        <f>AVERAGE(D1243,D1307,D1259,D1278)</f>
        <v>14.5049</v>
      </c>
    </row>
    <row r="1314" ht="25.5" customHeight="1">
      <c r="A1314" s="4" t="s">
        <v>2289</v>
      </c>
      <c r="B1314" s="8"/>
      <c r="C1314" s="6" t="s">
        <v>328</v>
      </c>
      <c r="D1314" s="12">
        <f>D845+(((D1247-D845)/4)*2)</f>
        <v>4.399865368</v>
      </c>
    </row>
    <row r="1315" ht="25.5" customHeight="1">
      <c r="A1315" s="4" t="s">
        <v>2290</v>
      </c>
      <c r="B1315" s="8"/>
      <c r="C1315" s="9" t="s">
        <v>2291</v>
      </c>
      <c r="D1315" s="12">
        <v>7.524</v>
      </c>
      <c r="E1315" s="10" t="s">
        <v>2292</v>
      </c>
    </row>
    <row r="1316" ht="25.5" customHeight="1">
      <c r="A1316" s="4" t="s">
        <v>2293</v>
      </c>
      <c r="B1316" s="8"/>
      <c r="C1316" s="6" t="s">
        <v>1028</v>
      </c>
      <c r="D1316" s="12">
        <f>AVERAGE(D1315,D1284)</f>
        <v>3.762</v>
      </c>
    </row>
    <row r="1317" ht="25.5" customHeight="1">
      <c r="A1317" s="4" t="s">
        <v>2294</v>
      </c>
      <c r="B1317" s="11"/>
      <c r="C1317" s="6" t="s">
        <v>2295</v>
      </c>
      <c r="D1317" s="12">
        <f>D1262</f>
        <v>0</v>
      </c>
    </row>
    <row r="1318" ht="25.5" customHeight="1">
      <c r="A1318" s="4" t="s">
        <v>2296</v>
      </c>
      <c r="B1318" s="5" t="s">
        <v>2297</v>
      </c>
      <c r="C1318" s="6" t="s">
        <v>2298</v>
      </c>
      <c r="D1318" s="12">
        <f>AVERAGE(D1375,D1326,D1389)</f>
        <v>19.49950381</v>
      </c>
    </row>
    <row r="1319" ht="25.5" customHeight="1">
      <c r="A1319" s="4" t="s">
        <v>2299</v>
      </c>
      <c r="B1319" s="8"/>
      <c r="C1319" s="6" t="s">
        <v>2300</v>
      </c>
      <c r="D1319" s="12">
        <f>D1379</f>
        <v>19.49950381</v>
      </c>
    </row>
    <row r="1320" ht="25.5" customHeight="1">
      <c r="A1320" s="4" t="s">
        <v>2301</v>
      </c>
      <c r="B1320" s="8"/>
      <c r="C1320" s="6" t="s">
        <v>2302</v>
      </c>
      <c r="D1320" s="12">
        <f>AVERAGE(D1331,D1373)</f>
        <v>21.8097113</v>
      </c>
    </row>
    <row r="1321" ht="25.5" customHeight="1">
      <c r="A1321" s="4" t="s">
        <v>2303</v>
      </c>
      <c r="B1321" s="8"/>
      <c r="C1321" s="6" t="s">
        <v>2304</v>
      </c>
      <c r="D1321" s="12">
        <f>AVERAGE(D1361,D1353,D1348)</f>
        <v>19.63220115</v>
      </c>
    </row>
    <row r="1322" ht="25.5" customHeight="1">
      <c r="A1322" s="4" t="s">
        <v>2305</v>
      </c>
      <c r="B1322" s="8"/>
      <c r="C1322" s="9" t="s">
        <v>210</v>
      </c>
      <c r="D1322" s="12">
        <v>26.59</v>
      </c>
      <c r="E1322" s="10" t="s">
        <v>2306</v>
      </c>
    </row>
    <row r="1323" ht="25.5" customHeight="1">
      <c r="A1323" s="4" t="s">
        <v>2307</v>
      </c>
      <c r="B1323" s="8"/>
      <c r="C1323" s="6" t="s">
        <v>2308</v>
      </c>
      <c r="D1323" s="12">
        <f>D2420</f>
        <v>17.70367963</v>
      </c>
    </row>
    <row r="1324" ht="25.5" customHeight="1">
      <c r="A1324" s="4" t="s">
        <v>2309</v>
      </c>
      <c r="B1324" s="8"/>
      <c r="C1324" s="9" t="s">
        <v>2310</v>
      </c>
      <c r="D1324" s="12">
        <v>0.0</v>
      </c>
      <c r="E1324" s="10" t="s">
        <v>2311</v>
      </c>
    </row>
    <row r="1325" ht="25.5" customHeight="1">
      <c r="A1325" s="4" t="s">
        <v>2312</v>
      </c>
      <c r="B1325" s="8"/>
      <c r="C1325" s="6" t="s">
        <v>1297</v>
      </c>
      <c r="D1325" s="12">
        <f>AVERAGE(D1369,D1324)</f>
        <v>0</v>
      </c>
    </row>
    <row r="1326" ht="25.5" customHeight="1">
      <c r="A1326" s="4" t="s">
        <v>2313</v>
      </c>
      <c r="B1326" s="8"/>
      <c r="C1326" s="6" t="s">
        <v>2314</v>
      </c>
      <c r="D1326" s="12">
        <f>D1379</f>
        <v>19.49950381</v>
      </c>
    </row>
    <row r="1327" ht="25.5" customHeight="1">
      <c r="A1327" s="4" t="s">
        <v>2315</v>
      </c>
      <c r="B1327" s="8"/>
      <c r="C1327" s="6" t="s">
        <v>2316</v>
      </c>
      <c r="D1327" s="12">
        <f>AVERAGE(D1344,D1403)</f>
        <v>23.0447519</v>
      </c>
    </row>
    <row r="1328" ht="25.5" customHeight="1">
      <c r="A1328" s="4" t="s">
        <v>2317</v>
      </c>
      <c r="B1328" s="8"/>
      <c r="C1328" s="6" t="s">
        <v>1079</v>
      </c>
      <c r="D1328" s="12">
        <f>AVERAGE(D1397,D1366,D1348)</f>
        <v>23.32355785</v>
      </c>
    </row>
    <row r="1329" ht="25.5" customHeight="1">
      <c r="A1329" s="4" t="s">
        <v>2318</v>
      </c>
      <c r="B1329" s="8"/>
      <c r="C1329" s="6" t="s">
        <v>2176</v>
      </c>
      <c r="D1329" s="12">
        <f>AVERAGE(D1354,D1404,D1382,D1351)</f>
        <v>13.71678291</v>
      </c>
    </row>
    <row r="1330" ht="25.5" customHeight="1">
      <c r="A1330" s="4" t="s">
        <v>2319</v>
      </c>
      <c r="B1330" s="8"/>
      <c r="C1330" s="6" t="s">
        <v>2320</v>
      </c>
      <c r="D1330" s="12">
        <f>D1379</f>
        <v>19.49950381</v>
      </c>
    </row>
    <row r="1331" ht="25.5" customHeight="1">
      <c r="A1331" s="4" t="s">
        <v>2321</v>
      </c>
      <c r="B1331" s="8"/>
      <c r="C1331" s="6" t="s">
        <v>94</v>
      </c>
      <c r="D1331" s="12">
        <f>D1657+(((D1390-D1657)/22)*16)</f>
        <v>20.85365356</v>
      </c>
    </row>
    <row r="1332" ht="25.5" customHeight="1">
      <c r="A1332" s="4" t="s">
        <v>2322</v>
      </c>
      <c r="B1332" s="8"/>
      <c r="C1332" s="6" t="s">
        <v>1243</v>
      </c>
      <c r="D1332" s="12">
        <f>AVERAGE(D1377,D1320)</f>
        <v>20.85365356</v>
      </c>
    </row>
    <row r="1333" ht="25.5" customHeight="1">
      <c r="A1333" s="4" t="s">
        <v>2323</v>
      </c>
      <c r="B1333" s="8"/>
      <c r="C1333" s="6" t="s">
        <v>836</v>
      </c>
      <c r="D1333" s="12">
        <f>D1355</f>
        <v>19.49950381</v>
      </c>
    </row>
    <row r="1334" ht="25.5" customHeight="1">
      <c r="A1334" s="4" t="s">
        <v>2324</v>
      </c>
      <c r="B1334" s="8"/>
      <c r="C1334" s="6" t="s">
        <v>2325</v>
      </c>
      <c r="D1334" s="12">
        <f>D1349</f>
        <v>10.81348649</v>
      </c>
    </row>
    <row r="1335" ht="25.5" customHeight="1">
      <c r="A1335" s="4" t="s">
        <v>2326</v>
      </c>
      <c r="B1335" s="8"/>
      <c r="C1335" s="6" t="s">
        <v>2327</v>
      </c>
      <c r="D1335" s="12">
        <f>AVERAGE(D1366,D1318)</f>
        <v>22.88540895</v>
      </c>
    </row>
    <row r="1336" ht="25.5" customHeight="1">
      <c r="A1336" s="4" t="s">
        <v>2328</v>
      </c>
      <c r="B1336" s="8"/>
      <c r="C1336" s="6" t="s">
        <v>2329</v>
      </c>
      <c r="D1336" s="12">
        <f>D1383</f>
        <v>12.415</v>
      </c>
    </row>
    <row r="1337" ht="25.5" customHeight="1">
      <c r="A1337" s="4" t="s">
        <v>2330</v>
      </c>
      <c r="B1337" s="8"/>
      <c r="C1337" s="6" t="s">
        <v>851</v>
      </c>
      <c r="D1337" s="12">
        <f>AVERAGE(D1342,D1372,D1367,D1391)</f>
        <v>13.415</v>
      </c>
    </row>
    <row r="1338" ht="25.5" customHeight="1">
      <c r="A1338" s="4" t="s">
        <v>2331</v>
      </c>
      <c r="B1338" s="8"/>
      <c r="C1338" s="6" t="s">
        <v>535</v>
      </c>
      <c r="D1338" s="12">
        <f>D1657+(((D1390-D1657)/22)*20)</f>
        <v>24.67788452</v>
      </c>
    </row>
    <row r="1339" ht="25.5" customHeight="1">
      <c r="A1339" s="4" t="s">
        <v>2332</v>
      </c>
      <c r="B1339" s="8"/>
      <c r="C1339" s="6" t="s">
        <v>2333</v>
      </c>
      <c r="D1339" s="7">
        <f>D681+(((D1341-D681)/37)*36)</f>
        <v>11.33916216</v>
      </c>
    </row>
    <row r="1340" ht="25.5" customHeight="1">
      <c r="A1340" s="4" t="s">
        <v>2334</v>
      </c>
      <c r="B1340" s="8"/>
      <c r="C1340" s="6" t="s">
        <v>2335</v>
      </c>
      <c r="D1340" s="12">
        <f>AVERAGE(D1367,D1372,D1402)</f>
        <v>7.830779048</v>
      </c>
    </row>
    <row r="1341" ht="25.5" customHeight="1">
      <c r="A1341" s="4" t="s">
        <v>2336</v>
      </c>
      <c r="B1341" s="8"/>
      <c r="C1341" s="6" t="s">
        <v>2337</v>
      </c>
      <c r="D1341" s="12">
        <f>D1383+(((D639-D1383)/8)*2)</f>
        <v>11.602</v>
      </c>
    </row>
    <row r="1342" ht="25.5" customHeight="1">
      <c r="A1342" s="4" t="s">
        <v>2338</v>
      </c>
      <c r="B1342" s="8"/>
      <c r="C1342" s="9" t="s">
        <v>2339</v>
      </c>
      <c r="D1342" s="12">
        <v>24.83</v>
      </c>
      <c r="E1342" s="10" t="s">
        <v>2340</v>
      </c>
    </row>
    <row r="1343" ht="25.5" customHeight="1">
      <c r="A1343" s="4" t="s">
        <v>2341</v>
      </c>
      <c r="B1343" s="8"/>
      <c r="C1343" s="6" t="s">
        <v>252</v>
      </c>
      <c r="D1343" s="12">
        <f>D1657+(((D1390-D1657)/22)*19)</f>
        <v>23.72182678</v>
      </c>
    </row>
    <row r="1344" ht="25.5" customHeight="1">
      <c r="A1344" s="4" t="s">
        <v>2342</v>
      </c>
      <c r="B1344" s="8"/>
      <c r="C1344" s="6" t="s">
        <v>2343</v>
      </c>
      <c r="D1344" s="12">
        <f>AVERAGE(D1390,D1387)+(((D3037-AVERAGE(D1390,D1387))/9)*2)</f>
        <v>21.86300254</v>
      </c>
    </row>
    <row r="1345" ht="25.5" customHeight="1">
      <c r="A1345" s="4" t="s">
        <v>2344</v>
      </c>
      <c r="B1345" s="8"/>
      <c r="C1345" s="6" t="s">
        <v>136</v>
      </c>
      <c r="D1345" s="12">
        <f>AVERAGE(D1402,D3027)</f>
        <v>6.332755714</v>
      </c>
    </row>
    <row r="1346" ht="25.5" customHeight="1">
      <c r="A1346" s="4" t="s">
        <v>2345</v>
      </c>
      <c r="B1346" s="8"/>
      <c r="C1346" s="6" t="s">
        <v>2346</v>
      </c>
      <c r="D1346" s="12">
        <f>AVERAGE(D1320,D1397)</f>
        <v>23.00478348</v>
      </c>
    </row>
    <row r="1347" ht="25.5" customHeight="1">
      <c r="A1347" s="4" t="s">
        <v>2347</v>
      </c>
      <c r="B1347" s="8"/>
      <c r="C1347" s="6" t="s">
        <v>2348</v>
      </c>
      <c r="D1347" s="12">
        <f>AVERAGE(D1387,D1319,D1330)</f>
        <v>21.86300254</v>
      </c>
    </row>
    <row r="1348" ht="25.5" customHeight="1">
      <c r="A1348" s="4" t="s">
        <v>2349</v>
      </c>
      <c r="B1348" s="8"/>
      <c r="C1348" s="6" t="s">
        <v>2350</v>
      </c>
      <c r="D1348" s="12">
        <f>D1389</f>
        <v>19.49950381</v>
      </c>
    </row>
    <row r="1349" ht="25.5" customHeight="1">
      <c r="A1349" s="4" t="s">
        <v>2351</v>
      </c>
      <c r="B1349" s="8"/>
      <c r="C1349" s="6" t="s">
        <v>138</v>
      </c>
      <c r="D1349" s="7">
        <f>D681+(((D1341-D681)/37)*34)</f>
        <v>10.81348649</v>
      </c>
    </row>
    <row r="1350" ht="25.5" customHeight="1">
      <c r="A1350" s="4" t="s">
        <v>2352</v>
      </c>
      <c r="B1350" s="8"/>
      <c r="C1350" s="6" t="s">
        <v>2353</v>
      </c>
      <c r="D1350" s="12">
        <f>D1375</f>
        <v>19.49950381</v>
      </c>
    </row>
    <row r="1351" ht="25.5" customHeight="1">
      <c r="A1351" s="4" t="s">
        <v>2354</v>
      </c>
      <c r="B1351" s="8"/>
      <c r="C1351" s="6" t="s">
        <v>2355</v>
      </c>
      <c r="D1351" s="12">
        <f>D1390</f>
        <v>26.59</v>
      </c>
    </row>
    <row r="1352" ht="25.5" customHeight="1">
      <c r="A1352" s="4" t="s">
        <v>2356</v>
      </c>
      <c r="B1352" s="8"/>
      <c r="C1352" s="6" t="s">
        <v>2357</v>
      </c>
      <c r="D1352" s="12">
        <f>D1791</f>
        <v>19.89759582</v>
      </c>
    </row>
    <row r="1353" ht="25.5" customHeight="1">
      <c r="A1353" s="4" t="s">
        <v>2358</v>
      </c>
      <c r="B1353" s="8"/>
      <c r="C1353" s="6" t="s">
        <v>2359</v>
      </c>
      <c r="D1353" s="12">
        <f>D1389</f>
        <v>19.49950381</v>
      </c>
    </row>
    <row r="1354" ht="25.5" customHeight="1">
      <c r="A1354" s="4" t="s">
        <v>2360</v>
      </c>
      <c r="B1354" s="8"/>
      <c r="C1354" s="6" t="s">
        <v>2361</v>
      </c>
      <c r="D1354" s="12">
        <f>AVERAGE(D2390,D2384)</f>
        <v>14.9612844</v>
      </c>
    </row>
    <row r="1355" ht="25.5" customHeight="1">
      <c r="A1355" s="4" t="s">
        <v>2362</v>
      </c>
      <c r="B1355" s="8"/>
      <c r="C1355" s="6" t="s">
        <v>402</v>
      </c>
      <c r="D1355" s="12">
        <f>D1389</f>
        <v>19.49950381</v>
      </c>
    </row>
    <row r="1356" ht="25.5" customHeight="1">
      <c r="A1356" s="4" t="s">
        <v>2363</v>
      </c>
      <c r="B1356" s="8"/>
      <c r="C1356" s="6" t="s">
        <v>2364</v>
      </c>
      <c r="D1356" s="12">
        <f>D1353</f>
        <v>19.49950381</v>
      </c>
    </row>
    <row r="1357" ht="25.5" customHeight="1">
      <c r="A1357" s="4" t="s">
        <v>2365</v>
      </c>
      <c r="B1357" s="8"/>
      <c r="C1357" s="9" t="s">
        <v>2366</v>
      </c>
      <c r="D1357" s="12">
        <f>D1324</f>
        <v>0</v>
      </c>
      <c r="E1357" s="13" t="s">
        <v>2311</v>
      </c>
    </row>
    <row r="1358" ht="25.5" customHeight="1">
      <c r="A1358" s="4" t="s">
        <v>2367</v>
      </c>
      <c r="B1358" s="8"/>
      <c r="C1358" s="6" t="s">
        <v>273</v>
      </c>
      <c r="D1358" s="12">
        <f>AVERAGE(D2384,D2370)</f>
        <v>12.76736821</v>
      </c>
    </row>
    <row r="1359" ht="25.5" customHeight="1">
      <c r="A1359" s="4" t="s">
        <v>2368</v>
      </c>
      <c r="B1359" s="8"/>
      <c r="C1359" s="6" t="s">
        <v>1146</v>
      </c>
      <c r="D1359" s="12">
        <f>AVERAGE(D1404,D1358,D1368)</f>
        <v>12.21128804</v>
      </c>
    </row>
    <row r="1360" ht="25.5" customHeight="1">
      <c r="A1360" s="4" t="s">
        <v>2369</v>
      </c>
      <c r="B1360" s="8"/>
      <c r="C1360" s="6" t="s">
        <v>2370</v>
      </c>
      <c r="D1360" s="12">
        <f>AVERAGE(D1377,D1371,D1320)</f>
        <v>20.64119629</v>
      </c>
    </row>
    <row r="1361" ht="25.5" customHeight="1">
      <c r="A1361" s="4" t="s">
        <v>2371</v>
      </c>
      <c r="B1361" s="8"/>
      <c r="C1361" s="6" t="s">
        <v>163</v>
      </c>
      <c r="D1361" s="12">
        <f>D1807</f>
        <v>19.89759582</v>
      </c>
    </row>
    <row r="1362" ht="25.5" customHeight="1">
      <c r="A1362" s="4" t="s">
        <v>2372</v>
      </c>
      <c r="B1362" s="8"/>
      <c r="C1362" s="6" t="s">
        <v>720</v>
      </c>
      <c r="D1362" s="7">
        <f>D681+(((D1341-D681)/37)*35)</f>
        <v>11.07632432</v>
      </c>
    </row>
    <row r="1363" ht="25.5" customHeight="1">
      <c r="A1363" s="4" t="s">
        <v>2373</v>
      </c>
      <c r="B1363" s="8"/>
      <c r="C1363" s="6" t="s">
        <v>2374</v>
      </c>
      <c r="D1363" s="12">
        <f>D1403</f>
        <v>24.22650127</v>
      </c>
    </row>
    <row r="1364" ht="25.5" customHeight="1">
      <c r="A1364" s="4" t="s">
        <v>2375</v>
      </c>
      <c r="B1364" s="8"/>
      <c r="C1364" s="6" t="s">
        <v>2376</v>
      </c>
      <c r="D1364" s="12">
        <f>AVERAGE(D1403,D1390)</f>
        <v>25.40825063</v>
      </c>
    </row>
    <row r="1365" ht="25.5" customHeight="1">
      <c r="A1365" s="4" t="s">
        <v>2377</v>
      </c>
      <c r="B1365" s="8"/>
      <c r="C1365" s="6" t="s">
        <v>2378</v>
      </c>
      <c r="D1365" s="12">
        <f>AVERAGE(D1322,D1387)</f>
        <v>26.59</v>
      </c>
    </row>
    <row r="1366" ht="25.5" customHeight="1">
      <c r="A1366" s="4" t="s">
        <v>2379</v>
      </c>
      <c r="B1366" s="8"/>
      <c r="C1366" s="6" t="s">
        <v>2380</v>
      </c>
      <c r="D1366" s="12">
        <f>AVERAGE(D1394,D1390,D1322)</f>
        <v>26.27131409</v>
      </c>
    </row>
    <row r="1367" ht="25.5" customHeight="1">
      <c r="A1367" s="4" t="s">
        <v>2381</v>
      </c>
      <c r="B1367" s="8"/>
      <c r="C1367" s="6" t="s">
        <v>2382</v>
      </c>
      <c r="D1367" s="12">
        <f>AVERAGE(D1341,D1372)</f>
        <v>9.4745</v>
      </c>
    </row>
    <row r="1368" ht="25.5" customHeight="1">
      <c r="A1368" s="4" t="s">
        <v>2383</v>
      </c>
      <c r="B1368" s="8"/>
      <c r="C1368" s="6" t="s">
        <v>950</v>
      </c>
      <c r="D1368" s="12">
        <f>D1370</f>
        <v>10.55064865</v>
      </c>
    </row>
    <row r="1369" ht="25.5" customHeight="1">
      <c r="A1369" s="4" t="s">
        <v>2384</v>
      </c>
      <c r="B1369" s="8"/>
      <c r="C1369" s="9" t="s">
        <v>2385</v>
      </c>
      <c r="D1369" s="12">
        <f>D1324</f>
        <v>0</v>
      </c>
      <c r="E1369" s="13" t="s">
        <v>2311</v>
      </c>
    </row>
    <row r="1370" ht="25.5" customHeight="1">
      <c r="A1370" s="4" t="s">
        <v>2386</v>
      </c>
      <c r="B1370" s="8"/>
      <c r="C1370" s="6" t="s">
        <v>2387</v>
      </c>
      <c r="D1370" s="7">
        <f>D681+(((D1341-D681)/37)*33)</f>
        <v>10.55064865</v>
      </c>
    </row>
    <row r="1371" ht="25.5" customHeight="1">
      <c r="A1371" s="4" t="s">
        <v>2388</v>
      </c>
      <c r="B1371" s="8"/>
      <c r="C1371" s="6" t="s">
        <v>2389</v>
      </c>
      <c r="D1371" s="12">
        <f>AVERAGE(D1806,D1766,D1331)</f>
        <v>20.21628174</v>
      </c>
    </row>
    <row r="1372" ht="25.5" customHeight="1">
      <c r="A1372" s="4" t="s">
        <v>2390</v>
      </c>
      <c r="B1372" s="8"/>
      <c r="C1372" s="9" t="s">
        <v>2391</v>
      </c>
      <c r="D1372" s="12">
        <v>7.347</v>
      </c>
      <c r="E1372" s="10" t="s">
        <v>2392</v>
      </c>
    </row>
    <row r="1373" ht="25.5" customHeight="1">
      <c r="A1373" s="4" t="s">
        <v>2393</v>
      </c>
      <c r="B1373" s="8"/>
      <c r="C1373" s="6" t="s">
        <v>2394</v>
      </c>
      <c r="D1373" s="12">
        <f>D1657+(((D1390-D1657)/22)*18)</f>
        <v>22.76576904</v>
      </c>
    </row>
    <row r="1374" ht="25.5" customHeight="1">
      <c r="A1374" s="4" t="s">
        <v>2395</v>
      </c>
      <c r="B1374" s="8"/>
      <c r="C1374" s="6" t="s">
        <v>2396</v>
      </c>
      <c r="D1374" s="12">
        <f>AVERAGE(D1361,D1377)</f>
        <v>19.89759582</v>
      </c>
    </row>
    <row r="1375" ht="25.5" customHeight="1">
      <c r="A1375" s="4" t="s">
        <v>2397</v>
      </c>
      <c r="B1375" s="8"/>
      <c r="C1375" s="6" t="s">
        <v>2398</v>
      </c>
      <c r="D1375" s="12">
        <f>D1379</f>
        <v>19.49950381</v>
      </c>
    </row>
    <row r="1376" ht="25.5" customHeight="1">
      <c r="A1376" s="4" t="s">
        <v>2399</v>
      </c>
      <c r="B1376" s="8"/>
      <c r="C1376" s="6" t="s">
        <v>2400</v>
      </c>
      <c r="D1376" s="12">
        <f>AVERAGE(D2415,D1384)</f>
        <v>10.70487094</v>
      </c>
    </row>
    <row r="1377" ht="25.5" customHeight="1">
      <c r="A1377" s="4" t="s">
        <v>2401</v>
      </c>
      <c r="B1377" s="8"/>
      <c r="C1377" s="6" t="s">
        <v>301</v>
      </c>
      <c r="D1377" s="12">
        <f>AVERAGE(D1775,D1806)</f>
        <v>19.89759582</v>
      </c>
    </row>
    <row r="1378" ht="25.5" customHeight="1">
      <c r="A1378" s="4" t="s">
        <v>2402</v>
      </c>
      <c r="B1378" s="8"/>
      <c r="C1378" s="6" t="s">
        <v>303</v>
      </c>
      <c r="D1378" s="12">
        <f>AVERAGE(D1390,D1338)</f>
        <v>25.63394226</v>
      </c>
    </row>
    <row r="1379" ht="25.5" customHeight="1">
      <c r="A1379" s="4" t="s">
        <v>2403</v>
      </c>
      <c r="B1379" s="8"/>
      <c r="C1379" s="6" t="s">
        <v>2404</v>
      </c>
      <c r="D1379" s="12">
        <f>AVERAGE(D1390,D1387)+(((D3037-AVERAGE(D1390,D1387))/9)*3)</f>
        <v>19.49950381</v>
      </c>
    </row>
    <row r="1380" ht="25.5" customHeight="1">
      <c r="A1380" s="4" t="s">
        <v>2405</v>
      </c>
      <c r="B1380" s="8"/>
      <c r="C1380" s="6" t="s">
        <v>2406</v>
      </c>
      <c r="D1380" s="12">
        <f>D1377</f>
        <v>19.89759582</v>
      </c>
    </row>
    <row r="1381" ht="25.5" customHeight="1">
      <c r="A1381" s="4" t="s">
        <v>2407</v>
      </c>
      <c r="B1381" s="8"/>
      <c r="C1381" s="6" t="s">
        <v>2408</v>
      </c>
      <c r="D1381" s="12">
        <f>AVERAGE(D1404,D1382,D1325,D1334,D1368)</f>
        <v>6.935996478</v>
      </c>
    </row>
    <row r="1382" ht="25.5" customHeight="1">
      <c r="A1382" s="4" t="s">
        <v>2409</v>
      </c>
      <c r="B1382" s="8"/>
      <c r="C1382" s="6" t="s">
        <v>2410</v>
      </c>
      <c r="D1382" s="12">
        <f>D1369</f>
        <v>0</v>
      </c>
    </row>
    <row r="1383" ht="25.5" customHeight="1">
      <c r="A1383" s="4" t="s">
        <v>2411</v>
      </c>
      <c r="B1383" s="8"/>
      <c r="C1383" s="6" t="s">
        <v>1707</v>
      </c>
      <c r="D1383" s="12">
        <f>AVERAGE(D1357,D1342)</f>
        <v>12.415</v>
      </c>
    </row>
    <row r="1384" ht="25.5" customHeight="1">
      <c r="A1384" s="4" t="s">
        <v>2412</v>
      </c>
      <c r="B1384" s="8"/>
      <c r="C1384" s="6" t="s">
        <v>2413</v>
      </c>
      <c r="D1384" s="7">
        <f>D681+(((D1341-D681)/37)*32)</f>
        <v>10.28781081</v>
      </c>
    </row>
    <row r="1385" ht="25.5" customHeight="1">
      <c r="A1385" s="4" t="s">
        <v>2414</v>
      </c>
      <c r="B1385" s="8"/>
      <c r="C1385" s="6" t="s">
        <v>2415</v>
      </c>
      <c r="D1385" s="12">
        <f>AVERAGE(D1352,D1361)</f>
        <v>19.89759582</v>
      </c>
    </row>
    <row r="1386" ht="25.5" customHeight="1">
      <c r="A1386" s="4" t="s">
        <v>2416</v>
      </c>
      <c r="B1386" s="8"/>
      <c r="C1386" s="6" t="s">
        <v>312</v>
      </c>
      <c r="D1386" s="12">
        <f>AVERAGE(D1357,D1383,D1336,D1344)</f>
        <v>11.67325063</v>
      </c>
    </row>
    <row r="1387" ht="25.5" customHeight="1">
      <c r="A1387" s="4" t="s">
        <v>2417</v>
      </c>
      <c r="B1387" s="8"/>
      <c r="C1387" s="9" t="s">
        <v>2418</v>
      </c>
      <c r="D1387" s="12">
        <f>D1322</f>
        <v>26.59</v>
      </c>
      <c r="E1387" s="13" t="s">
        <v>2306</v>
      </c>
    </row>
    <row r="1388" ht="25.5" customHeight="1">
      <c r="A1388" s="4" t="s">
        <v>2419</v>
      </c>
      <c r="B1388" s="8"/>
      <c r="C1388" s="6" t="s">
        <v>2420</v>
      </c>
      <c r="D1388" s="12">
        <f>AVERAGE(D1369,D1357)</f>
        <v>0</v>
      </c>
    </row>
    <row r="1389" ht="25.5" customHeight="1">
      <c r="A1389" s="4" t="s">
        <v>2421</v>
      </c>
      <c r="B1389" s="8"/>
      <c r="C1389" s="4" t="s">
        <v>2422</v>
      </c>
      <c r="D1389" s="12">
        <f>D1379</f>
        <v>19.49950381</v>
      </c>
    </row>
    <row r="1390" ht="25.5" customHeight="1">
      <c r="A1390" s="4" t="s">
        <v>2423</v>
      </c>
      <c r="B1390" s="8"/>
      <c r="C1390" s="9" t="s">
        <v>2424</v>
      </c>
      <c r="D1390" s="12">
        <f>D1322</f>
        <v>26.59</v>
      </c>
      <c r="E1390" s="13" t="s">
        <v>2306</v>
      </c>
    </row>
    <row r="1391" ht="25.5" customHeight="1">
      <c r="A1391" s="4" t="s">
        <v>2425</v>
      </c>
      <c r="B1391" s="8"/>
      <c r="C1391" s="6" t="s">
        <v>2426</v>
      </c>
      <c r="D1391" s="12">
        <f>D1383+(((D639-D1383)/8)*1)</f>
        <v>12.0085</v>
      </c>
    </row>
    <row r="1392" ht="25.5" customHeight="1">
      <c r="A1392" s="4" t="s">
        <v>2427</v>
      </c>
      <c r="B1392" s="8"/>
      <c r="C1392" s="6" t="s">
        <v>1733</v>
      </c>
      <c r="D1392" s="12">
        <f>D1343</f>
        <v>23.72182678</v>
      </c>
    </row>
    <row r="1393" ht="25.5" customHeight="1">
      <c r="A1393" s="4" t="s">
        <v>2428</v>
      </c>
      <c r="B1393" s="8"/>
      <c r="C1393" s="6" t="s">
        <v>2429</v>
      </c>
      <c r="D1393" s="12">
        <f>AVERAGE(D1351,D1378,D1392,D1323)</f>
        <v>23.41236217</v>
      </c>
    </row>
    <row r="1394" ht="25.5" customHeight="1">
      <c r="A1394" s="4" t="s">
        <v>2430</v>
      </c>
      <c r="B1394" s="8"/>
      <c r="C1394" s="6" t="s">
        <v>1916</v>
      </c>
      <c r="D1394" s="12">
        <f>D1657+(((D1390-D1657)/22)*21)</f>
        <v>25.63394226</v>
      </c>
    </row>
    <row r="1395" ht="25.5" customHeight="1">
      <c r="A1395" s="4" t="s">
        <v>2431</v>
      </c>
      <c r="B1395" s="8"/>
      <c r="C1395" s="6" t="s">
        <v>2432</v>
      </c>
      <c r="D1395" s="12">
        <f>AVERAGE(D1343,D1401,D2420)</f>
        <v>21.07840591</v>
      </c>
    </row>
    <row r="1396" ht="25.5" customHeight="1">
      <c r="A1396" s="4" t="s">
        <v>2433</v>
      </c>
      <c r="B1396" s="8"/>
      <c r="C1396" s="6" t="s">
        <v>2434</v>
      </c>
      <c r="D1396" s="12">
        <f>AVERAGE(D1342,D1372,D1402)</f>
        <v>12.94927905</v>
      </c>
    </row>
    <row r="1397" ht="25.5" customHeight="1">
      <c r="A1397" s="4" t="s">
        <v>2435</v>
      </c>
      <c r="B1397" s="8"/>
      <c r="C1397" s="6" t="s">
        <v>2436</v>
      </c>
      <c r="D1397" s="12">
        <f>AVERAGE(D1373,D1394)</f>
        <v>24.19985565</v>
      </c>
    </row>
    <row r="1398" ht="25.5" customHeight="1">
      <c r="A1398" s="4" t="s">
        <v>2437</v>
      </c>
      <c r="B1398" s="8"/>
      <c r="C1398" s="6" t="s">
        <v>2438</v>
      </c>
      <c r="D1398" s="12">
        <f>AVERAGE(D1357,D1324,D1339,D1341,D1391,D1383)</f>
        <v>7.89411036</v>
      </c>
    </row>
    <row r="1399" ht="25.5" customHeight="1">
      <c r="A1399" s="4" t="s">
        <v>2439</v>
      </c>
      <c r="B1399" s="8"/>
      <c r="C1399" s="6" t="s">
        <v>197</v>
      </c>
      <c r="D1399" s="12">
        <f>AVERAGE(D1390,D1387)+(((D3037-AVERAGE(D1390,D1387))/9)*4)</f>
        <v>17.13600508</v>
      </c>
    </row>
    <row r="1400" ht="25.5" customHeight="1">
      <c r="A1400" s="4" t="s">
        <v>2440</v>
      </c>
      <c r="B1400" s="8"/>
      <c r="C1400" s="6" t="s">
        <v>2441</v>
      </c>
      <c r="D1400" s="12">
        <f>AVERAGE(D1362,D1324)</f>
        <v>5.538162162</v>
      </c>
    </row>
    <row r="1401" ht="25.5" customHeight="1">
      <c r="A1401" s="4" t="s">
        <v>2442</v>
      </c>
      <c r="B1401" s="8"/>
      <c r="C1401" s="6" t="s">
        <v>2443</v>
      </c>
      <c r="D1401" s="12">
        <f>D1657+(((D1390-D1657)/22)*17)</f>
        <v>21.8097113</v>
      </c>
    </row>
    <row r="1402" ht="25.5" customHeight="1">
      <c r="A1402" s="4" t="s">
        <v>2444</v>
      </c>
      <c r="B1402" s="8"/>
      <c r="C1402" s="6" t="s">
        <v>2445</v>
      </c>
      <c r="D1402" s="12">
        <f>D1372+(((D3006-D1372)/6)*1)</f>
        <v>6.670837143</v>
      </c>
    </row>
    <row r="1403" ht="25.5" customHeight="1">
      <c r="A1403" s="4" t="s">
        <v>2446</v>
      </c>
      <c r="B1403" s="8"/>
      <c r="C1403" s="6" t="s">
        <v>1208</v>
      </c>
      <c r="D1403" s="12">
        <f>AVERAGE(D1390,D1387)+(((D3037-AVERAGE(D1390,D1387))/9)*1)</f>
        <v>24.22650127</v>
      </c>
    </row>
    <row r="1404" ht="25.5" customHeight="1">
      <c r="A1404" s="4" t="s">
        <v>2447</v>
      </c>
      <c r="B1404" s="11"/>
      <c r="C1404" s="6" t="s">
        <v>2448</v>
      </c>
      <c r="D1404" s="12">
        <f>D2384</f>
        <v>13.31584726</v>
      </c>
    </row>
    <row r="1405" ht="25.5" customHeight="1">
      <c r="A1405" s="4" t="s">
        <v>2449</v>
      </c>
      <c r="B1405" s="5" t="s">
        <v>2450</v>
      </c>
      <c r="C1405" s="6" t="s">
        <v>1057</v>
      </c>
      <c r="D1405" s="12">
        <f>AVERAGE(D1456,D1464,D1510,D1490)</f>
        <v>3.30105625</v>
      </c>
    </row>
    <row r="1406" ht="25.5" customHeight="1">
      <c r="A1406" s="4" t="s">
        <v>2451</v>
      </c>
      <c r="B1406" s="8"/>
      <c r="C1406" s="6" t="s">
        <v>2452</v>
      </c>
      <c r="D1406" s="7">
        <f>D632+(((D996-D632)/8)*5)</f>
        <v>4.153616667</v>
      </c>
    </row>
    <row r="1407" ht="25.5" customHeight="1">
      <c r="A1407" s="4" t="s">
        <v>2453</v>
      </c>
      <c r="B1407" s="8"/>
      <c r="C1407" s="6" t="s">
        <v>1583</v>
      </c>
      <c r="D1407" s="7">
        <f>D632+(((D996-D632)/8)*3)</f>
        <v>6.922694444</v>
      </c>
    </row>
    <row r="1408" ht="25.5" customHeight="1">
      <c r="A1408" s="4" t="s">
        <v>2454</v>
      </c>
      <c r="B1408" s="8"/>
      <c r="C1408" s="6" t="s">
        <v>2455</v>
      </c>
      <c r="D1408" s="12">
        <f>AVERAGE(D1474,D1418,D1414)</f>
        <v>1.0062</v>
      </c>
    </row>
    <row r="1409" ht="25.5" customHeight="1">
      <c r="A1409" s="4" t="s">
        <v>2456</v>
      </c>
      <c r="B1409" s="8"/>
      <c r="C1409" s="6" t="s">
        <v>2162</v>
      </c>
      <c r="D1409" s="12">
        <f>AVERAGE(D1459,D1477,D102)</f>
        <v>7.699952632</v>
      </c>
    </row>
    <row r="1410" ht="25.5" customHeight="1">
      <c r="A1410" s="4" t="s">
        <v>2457</v>
      </c>
      <c r="B1410" s="8"/>
      <c r="C1410" s="6" t="s">
        <v>1587</v>
      </c>
      <c r="D1410" s="12">
        <f>D1453</f>
        <v>7.5693</v>
      </c>
    </row>
    <row r="1411" ht="25.5" customHeight="1">
      <c r="A1411" s="4" t="s">
        <v>2458</v>
      </c>
      <c r="B1411" s="8"/>
      <c r="C1411" s="6" t="s">
        <v>2459</v>
      </c>
      <c r="D1411" s="12">
        <f>AVERAGE(D1423,D952)</f>
        <v>4.79345</v>
      </c>
    </row>
    <row r="1412" ht="25.5" customHeight="1">
      <c r="A1412" s="4" t="s">
        <v>2460</v>
      </c>
      <c r="B1412" s="8"/>
      <c r="C1412" s="6" t="s">
        <v>210</v>
      </c>
      <c r="D1412" s="12">
        <f>AVERAGE(D1419,D1475,D1484)</f>
        <v>1.93235</v>
      </c>
    </row>
    <row r="1413" ht="25.5" customHeight="1">
      <c r="A1413" s="4" t="s">
        <v>2461</v>
      </c>
      <c r="B1413" s="8"/>
      <c r="C1413" s="6" t="s">
        <v>2462</v>
      </c>
      <c r="D1413" s="12">
        <f>AVERAGE(D1483,D1420)</f>
        <v>1.09005</v>
      </c>
    </row>
    <row r="1414" ht="25.5" customHeight="1">
      <c r="A1414" s="4" t="s">
        <v>2463</v>
      </c>
      <c r="B1414" s="8"/>
      <c r="C1414" s="6" t="s">
        <v>212</v>
      </c>
      <c r="D1414" s="12">
        <f>D996+(((D1507-D996)/10)*5)</f>
        <v>0.8385</v>
      </c>
    </row>
    <row r="1415" ht="25.5" customHeight="1">
      <c r="A1415" s="4" t="s">
        <v>2464</v>
      </c>
      <c r="B1415" s="8"/>
      <c r="C1415" s="6" t="s">
        <v>1072</v>
      </c>
      <c r="D1415" s="7">
        <f>D632+(((D996-D632)/8)*6)</f>
        <v>2.769077778</v>
      </c>
    </row>
    <row r="1416" ht="25.5" customHeight="1">
      <c r="A1416" s="4" t="s">
        <v>2465</v>
      </c>
      <c r="B1416" s="8"/>
      <c r="C1416" s="6" t="s">
        <v>80</v>
      </c>
      <c r="D1416" s="12">
        <f>AVERAGE(D1508,D1439)</f>
        <v>0.6708</v>
      </c>
    </row>
    <row r="1417" ht="25.5" customHeight="1">
      <c r="A1417" s="4" t="s">
        <v>2466</v>
      </c>
      <c r="B1417" s="8"/>
      <c r="C1417" s="6" t="s">
        <v>1781</v>
      </c>
      <c r="D1417" s="7">
        <f>D639+(((D996-D639)/10)*7)</f>
        <v>2.7489</v>
      </c>
    </row>
    <row r="1418" ht="25.5" customHeight="1">
      <c r="A1418" s="4" t="s">
        <v>2467</v>
      </c>
      <c r="B1418" s="8"/>
      <c r="C1418" s="6" t="s">
        <v>2468</v>
      </c>
      <c r="D1418" s="12">
        <f>D996+(((D1507-D996)/10)*6)</f>
        <v>1.0062</v>
      </c>
    </row>
    <row r="1419" ht="25.5" customHeight="1">
      <c r="A1419" s="4" t="s">
        <v>2469</v>
      </c>
      <c r="B1419" s="8"/>
      <c r="C1419" s="6" t="s">
        <v>804</v>
      </c>
      <c r="D1419" s="12">
        <f>AVERAGE(D1489,D1457)</f>
        <v>4.5393</v>
      </c>
    </row>
    <row r="1420" ht="25.5" customHeight="1">
      <c r="A1420" s="4" t="s">
        <v>2470</v>
      </c>
      <c r="B1420" s="8"/>
      <c r="C1420" s="6" t="s">
        <v>2471</v>
      </c>
      <c r="D1420" s="7">
        <f>D720+(((D2510-D720)/20)*14)</f>
        <v>1.0062</v>
      </c>
    </row>
    <row r="1421" ht="25.5" customHeight="1">
      <c r="A1421" s="4" t="s">
        <v>2472</v>
      </c>
      <c r="B1421" s="8"/>
      <c r="C1421" s="6" t="s">
        <v>218</v>
      </c>
      <c r="D1421" s="12">
        <f>AVERAGE(D1497,D1458,D1417)</f>
        <v>1.1958</v>
      </c>
    </row>
    <row r="1422" ht="25.5" customHeight="1">
      <c r="A1422" s="4" t="s">
        <v>2473</v>
      </c>
      <c r="B1422" s="8"/>
      <c r="C1422" s="6" t="s">
        <v>1790</v>
      </c>
      <c r="D1422" s="12">
        <f>AVERAGE(D1501,D1494,D1516,D1416)</f>
        <v>2.246893056</v>
      </c>
    </row>
    <row r="1423" ht="25.5" customHeight="1">
      <c r="A1423" s="4" t="s">
        <v>2474</v>
      </c>
      <c r="B1423" s="8"/>
      <c r="C1423" s="6" t="s">
        <v>1079</v>
      </c>
      <c r="D1423" s="12">
        <f>AVERAGE(D937,D1452)</f>
        <v>2.41835</v>
      </c>
    </row>
    <row r="1424" ht="25.5" customHeight="1">
      <c r="A1424" s="4" t="s">
        <v>2475</v>
      </c>
      <c r="B1424" s="8"/>
      <c r="C1424" s="6" t="s">
        <v>1081</v>
      </c>
      <c r="D1424" s="12">
        <f>AVERAGE(D1433,D1488)</f>
        <v>6.5593</v>
      </c>
    </row>
    <row r="1425" ht="25.5" customHeight="1">
      <c r="A1425" s="4" t="s">
        <v>2476</v>
      </c>
      <c r="B1425" s="8"/>
      <c r="C1425" s="6" t="s">
        <v>2477</v>
      </c>
      <c r="D1425" s="12">
        <f>D1497</f>
        <v>0.5031</v>
      </c>
    </row>
    <row r="1426" ht="25.5" customHeight="1">
      <c r="A1426" s="4" t="s">
        <v>2478</v>
      </c>
      <c r="B1426" s="8"/>
      <c r="C1426" s="6" t="s">
        <v>1306</v>
      </c>
      <c r="D1426" s="12">
        <f>AVERAGE(D1459,D1443,D1517)</f>
        <v>6.222633333</v>
      </c>
    </row>
    <row r="1427" ht="25.5" customHeight="1">
      <c r="A1427" s="4" t="s">
        <v>2479</v>
      </c>
      <c r="B1427" s="8"/>
      <c r="C1427" s="6" t="s">
        <v>222</v>
      </c>
      <c r="D1427" s="12">
        <f>AVERAGE(D732,D1460)</f>
        <v>2.1801</v>
      </c>
    </row>
    <row r="1428" ht="25.5" customHeight="1">
      <c r="A1428" s="4" t="s">
        <v>2480</v>
      </c>
      <c r="B1428" s="8"/>
      <c r="C1428" s="6" t="s">
        <v>94</v>
      </c>
      <c r="D1428" s="7">
        <f>D639+(((D996-D639)/10)*9)</f>
        <v>0.9163</v>
      </c>
    </row>
    <row r="1429" ht="25.5" customHeight="1">
      <c r="A1429" s="4" t="s">
        <v>2481</v>
      </c>
      <c r="B1429" s="8"/>
      <c r="C1429" s="6" t="s">
        <v>1091</v>
      </c>
      <c r="D1429" s="7">
        <f>D639+(((D996-D639)/10)*8)</f>
        <v>1.8326</v>
      </c>
    </row>
    <row r="1430" ht="25.5" customHeight="1">
      <c r="A1430" s="4" t="s">
        <v>2482</v>
      </c>
      <c r="B1430" s="8"/>
      <c r="C1430" s="6" t="s">
        <v>2483</v>
      </c>
      <c r="D1430" s="12">
        <f>AVERAGE(D1414,D1418)</f>
        <v>0.92235</v>
      </c>
    </row>
    <row r="1431" ht="25.5" customHeight="1">
      <c r="A1431" s="4" t="s">
        <v>2484</v>
      </c>
      <c r="B1431" s="8"/>
      <c r="C1431" s="6" t="s">
        <v>2485</v>
      </c>
      <c r="D1431" s="12">
        <f>D996+(((D1507-D996)/10)*4)</f>
        <v>0.6708</v>
      </c>
    </row>
    <row r="1432" ht="25.5" customHeight="1">
      <c r="A1432" s="4" t="s">
        <v>2486</v>
      </c>
      <c r="B1432" s="8"/>
      <c r="C1432" s="6" t="s">
        <v>234</v>
      </c>
      <c r="D1432" s="12">
        <f>D2189+(((D1454-D2189)/18)*16)</f>
        <v>2.855966667</v>
      </c>
    </row>
    <row r="1433" ht="25.5" customHeight="1">
      <c r="A1433" s="4" t="s">
        <v>2487</v>
      </c>
      <c r="B1433" s="8"/>
      <c r="C1433" s="6" t="s">
        <v>843</v>
      </c>
      <c r="D1433" s="12">
        <f>AVERAGE(D1443,D1459,D1453)</f>
        <v>6.895966667</v>
      </c>
    </row>
    <row r="1434" ht="25.5" customHeight="1">
      <c r="A1434" s="4" t="s">
        <v>2488</v>
      </c>
      <c r="B1434" s="8"/>
      <c r="C1434" s="6" t="s">
        <v>114</v>
      </c>
      <c r="D1434" s="12">
        <f>AVERAGE(D1457,D1517,D1443)</f>
        <v>5.5493</v>
      </c>
    </row>
    <row r="1435" ht="25.5" customHeight="1">
      <c r="A1435" s="4" t="s">
        <v>2489</v>
      </c>
      <c r="B1435" s="8"/>
      <c r="C1435" s="6" t="s">
        <v>1461</v>
      </c>
      <c r="D1435" s="7">
        <f>D639+(((D996-D639)/10)*6)</f>
        <v>3.6652</v>
      </c>
    </row>
    <row r="1436" ht="25.5" customHeight="1">
      <c r="A1436" s="4" t="s">
        <v>2490</v>
      </c>
      <c r="B1436" s="8"/>
      <c r="C1436" s="6" t="s">
        <v>116</v>
      </c>
      <c r="D1436" s="12">
        <f>AVERAGE(D1435,D1429,D1406,D1415)</f>
        <v>3.105123611</v>
      </c>
    </row>
    <row r="1437" ht="25.5" customHeight="1">
      <c r="A1437" s="4" t="s">
        <v>2491</v>
      </c>
      <c r="B1437" s="8"/>
      <c r="C1437" s="6" t="s">
        <v>2492</v>
      </c>
      <c r="D1437" s="12">
        <f>AVERAGE(D1485,D1432)</f>
        <v>3.192633333</v>
      </c>
    </row>
    <row r="1438" ht="25.5" customHeight="1">
      <c r="A1438" s="4" t="s">
        <v>2493</v>
      </c>
      <c r="B1438" s="8"/>
      <c r="C1438" s="6" t="s">
        <v>535</v>
      </c>
      <c r="D1438" s="12">
        <f>D1517</f>
        <v>5.5493</v>
      </c>
    </row>
    <row r="1439" ht="25.5" customHeight="1">
      <c r="A1439" s="4" t="s">
        <v>2494</v>
      </c>
      <c r="B1439" s="8"/>
      <c r="C1439" s="6" t="s">
        <v>2495</v>
      </c>
      <c r="D1439" s="12">
        <f>AVERAGE(D1476,D1482,D145)</f>
        <v>0.5031</v>
      </c>
    </row>
    <row r="1440" ht="25.5" customHeight="1">
      <c r="A1440" s="4" t="s">
        <v>2496</v>
      </c>
      <c r="B1440" s="8"/>
      <c r="C1440" s="6" t="s">
        <v>126</v>
      </c>
      <c r="D1440" s="12">
        <f>D2189+(((D1454-D2189)/18)*17)</f>
        <v>2.182633333</v>
      </c>
    </row>
    <row r="1441" ht="25.5" customHeight="1">
      <c r="A1441" s="4" t="s">
        <v>2497</v>
      </c>
      <c r="B1441" s="8"/>
      <c r="C1441" s="6" t="s">
        <v>2498</v>
      </c>
      <c r="D1441" s="12">
        <f>AVERAGE(D1474,D1514,D1440,D1432,D1485)</f>
        <v>2.21668</v>
      </c>
    </row>
    <row r="1442" ht="25.5" customHeight="1">
      <c r="A1442" s="4" t="s">
        <v>2499</v>
      </c>
      <c r="B1442" s="8"/>
      <c r="C1442" s="6" t="s">
        <v>2500</v>
      </c>
      <c r="D1442" s="12">
        <f>AVERAGE(D1445,D1435,D1406)</f>
        <v>4.133438889</v>
      </c>
    </row>
    <row r="1443" ht="25.5" customHeight="1">
      <c r="A1443" s="4" t="s">
        <v>2501</v>
      </c>
      <c r="B1443" s="8"/>
      <c r="C1443" s="6" t="s">
        <v>130</v>
      </c>
      <c r="D1443" s="12">
        <f>D2189+(((D1454-D2189)/18)*11)</f>
        <v>6.222633333</v>
      </c>
    </row>
    <row r="1444" ht="25.5" customHeight="1">
      <c r="A1444" s="4" t="s">
        <v>2502</v>
      </c>
      <c r="B1444" s="8"/>
      <c r="C1444" s="6" t="s">
        <v>1113</v>
      </c>
      <c r="D1444" s="12">
        <f>AVERAGE(D1435,D1445)</f>
        <v>4.12335</v>
      </c>
    </row>
    <row r="1445" ht="25.5" customHeight="1">
      <c r="A1445" s="4" t="s">
        <v>2503</v>
      </c>
      <c r="B1445" s="8"/>
      <c r="C1445" s="6" t="s">
        <v>213</v>
      </c>
      <c r="D1445" s="7">
        <f>D639+(((D996-D639)/10)*5)</f>
        <v>4.5815</v>
      </c>
    </row>
    <row r="1446" ht="25.5" customHeight="1">
      <c r="A1446" s="4" t="s">
        <v>2504</v>
      </c>
      <c r="B1446" s="8"/>
      <c r="C1446" s="6" t="s">
        <v>134</v>
      </c>
      <c r="D1446" s="12">
        <f>AVERAGE(D1455,D1423)</f>
        <v>1.33495</v>
      </c>
    </row>
    <row r="1447" ht="25.5" customHeight="1">
      <c r="A1447" s="4" t="s">
        <v>2505</v>
      </c>
      <c r="B1447" s="8"/>
      <c r="C1447" s="6" t="s">
        <v>2506</v>
      </c>
      <c r="D1447" s="12">
        <f>AVERAGE(D1488,D1434,D1419)</f>
        <v>5.437077778</v>
      </c>
    </row>
    <row r="1448" ht="25.5" customHeight="1">
      <c r="A1448" s="4" t="s">
        <v>2507</v>
      </c>
      <c r="B1448" s="8"/>
      <c r="C1448" s="6" t="s">
        <v>2508</v>
      </c>
      <c r="D1448" s="7">
        <f>D632+(((D996-D632)/8)*4)</f>
        <v>5.538155556</v>
      </c>
    </row>
    <row r="1449" ht="25.5" customHeight="1">
      <c r="A1449" s="4" t="s">
        <v>2509</v>
      </c>
      <c r="B1449" s="8"/>
      <c r="C1449" s="6" t="s">
        <v>259</v>
      </c>
      <c r="D1449" s="12">
        <f>AVERAGE(D1414,D1431,D1497)</f>
        <v>0.6708</v>
      </c>
    </row>
    <row r="1450" ht="25.5" customHeight="1">
      <c r="A1450" s="4" t="s">
        <v>2510</v>
      </c>
      <c r="B1450" s="8"/>
      <c r="C1450" s="6" t="s">
        <v>2511</v>
      </c>
      <c r="D1450" s="12">
        <f>AVERAGE(D1438,D1512)</f>
        <v>4.875966667</v>
      </c>
    </row>
    <row r="1451" ht="25.5" customHeight="1">
      <c r="A1451" s="4" t="s">
        <v>2512</v>
      </c>
      <c r="B1451" s="8"/>
      <c r="C1451" s="6" t="s">
        <v>2210</v>
      </c>
      <c r="D1451" s="12">
        <f>D1432</f>
        <v>2.855966667</v>
      </c>
    </row>
    <row r="1452" ht="25.5" customHeight="1">
      <c r="A1452" s="4" t="s">
        <v>2513</v>
      </c>
      <c r="B1452" s="8"/>
      <c r="C1452" s="6" t="s">
        <v>138</v>
      </c>
      <c r="D1452" s="12">
        <f>D996+(((D1507-D996)/10)*1)</f>
        <v>0.1677</v>
      </c>
    </row>
    <row r="1453" ht="25.5" customHeight="1">
      <c r="A1453" s="4" t="s">
        <v>2514</v>
      </c>
      <c r="B1453" s="8"/>
      <c r="C1453" s="6" t="s">
        <v>912</v>
      </c>
      <c r="D1453" s="12">
        <f>D2189+(((D1454-D2189)/18)*9)</f>
        <v>7.5693</v>
      </c>
    </row>
    <row r="1454" ht="25.5" customHeight="1">
      <c r="A1454" s="4" t="s">
        <v>2515</v>
      </c>
      <c r="B1454" s="8"/>
      <c r="C1454" s="6" t="s">
        <v>140</v>
      </c>
      <c r="D1454" s="7">
        <f>D720+(((D2510-D720)/20)*11)</f>
        <v>1.5093</v>
      </c>
    </row>
    <row r="1455" ht="25.5" customHeight="1">
      <c r="A1455" s="4" t="s">
        <v>2516</v>
      </c>
      <c r="B1455" s="8"/>
      <c r="C1455" s="6" t="s">
        <v>267</v>
      </c>
      <c r="D1455" s="12">
        <f>AVERAGE(D1452,D1458)</f>
        <v>0.25155</v>
      </c>
    </row>
    <row r="1456" ht="25.5" customHeight="1">
      <c r="A1456" s="4" t="s">
        <v>2517</v>
      </c>
      <c r="B1456" s="8"/>
      <c r="C1456" s="6" t="s">
        <v>1362</v>
      </c>
      <c r="D1456" s="12">
        <f>AVERAGE(D1460,D1502)</f>
        <v>2.1801</v>
      </c>
    </row>
    <row r="1457" ht="25.5" customHeight="1">
      <c r="A1457" s="4" t="s">
        <v>2518</v>
      </c>
      <c r="B1457" s="8"/>
      <c r="C1457" s="6" t="s">
        <v>2519</v>
      </c>
      <c r="D1457" s="12">
        <f>D2189+(((D1454-D2189)/18)*13)</f>
        <v>4.875966667</v>
      </c>
    </row>
    <row r="1458" ht="25.5" customHeight="1">
      <c r="A1458" s="4" t="s">
        <v>2520</v>
      </c>
      <c r="B1458" s="8"/>
      <c r="C1458" s="6" t="s">
        <v>269</v>
      </c>
      <c r="D1458" s="12">
        <f>D996+(((D1507-D996)/10)*2)</f>
        <v>0.3354</v>
      </c>
    </row>
    <row r="1459" ht="25.5" customHeight="1">
      <c r="A1459" s="4" t="s">
        <v>2521</v>
      </c>
      <c r="B1459" s="8"/>
      <c r="C1459" s="6" t="s">
        <v>147</v>
      </c>
      <c r="D1459" s="12">
        <f>D2189+(((D1454-D2189)/18)*10)</f>
        <v>6.895966667</v>
      </c>
    </row>
    <row r="1460" ht="25.5" customHeight="1">
      <c r="A1460" s="4" t="s">
        <v>2522</v>
      </c>
      <c r="B1460" s="8"/>
      <c r="C1460" s="6" t="s">
        <v>1265</v>
      </c>
      <c r="D1460" s="12">
        <f>AVERAGE(D698,D1467)</f>
        <v>2.1801</v>
      </c>
    </row>
    <row r="1461" ht="25.5" customHeight="1">
      <c r="A1461" s="4" t="s">
        <v>2523</v>
      </c>
      <c r="B1461" s="8"/>
      <c r="C1461" s="6" t="s">
        <v>273</v>
      </c>
      <c r="D1461" s="12">
        <f>AVERAGE(D1503,D1514,D1474)</f>
        <v>1.3416</v>
      </c>
    </row>
    <row r="1462" ht="25.5" customHeight="1">
      <c r="A1462" s="4" t="s">
        <v>2524</v>
      </c>
      <c r="B1462" s="8"/>
      <c r="C1462" s="6" t="s">
        <v>1140</v>
      </c>
      <c r="D1462" s="12">
        <f>AVERAGE(D1425,D1463,D1444)</f>
        <v>2.611166667</v>
      </c>
    </row>
    <row r="1463" ht="25.5" customHeight="1">
      <c r="A1463" s="4" t="s">
        <v>2525</v>
      </c>
      <c r="B1463" s="8"/>
      <c r="C1463" s="6" t="s">
        <v>1369</v>
      </c>
      <c r="D1463" s="12">
        <f>AVERAGE(D1417,D1435)</f>
        <v>3.20705</v>
      </c>
    </row>
    <row r="1464" ht="25.5" customHeight="1">
      <c r="A1464" s="4" t="s">
        <v>2526</v>
      </c>
      <c r="B1464" s="8"/>
      <c r="C1464" s="6" t="s">
        <v>155</v>
      </c>
      <c r="D1464" s="12">
        <f>AVERAGE(D1502,D1492,D1425)</f>
        <v>1.1739</v>
      </c>
    </row>
    <row r="1465" ht="25.5" customHeight="1">
      <c r="A1465" s="4" t="s">
        <v>2527</v>
      </c>
      <c r="B1465" s="8"/>
      <c r="C1465" s="6" t="s">
        <v>157</v>
      </c>
      <c r="D1465" s="12">
        <f>AVERAGE(D1451,D1505,D1413)</f>
        <v>1.790488889</v>
      </c>
    </row>
    <row r="1466" ht="25.5" customHeight="1">
      <c r="A1466" s="4" t="s">
        <v>2528</v>
      </c>
      <c r="B1466" s="8"/>
      <c r="C1466" s="6" t="s">
        <v>2529</v>
      </c>
      <c r="D1466" s="12">
        <f>AVERAGE(D1485,D1489)</f>
        <v>3.865966667</v>
      </c>
    </row>
    <row r="1467" ht="25.5" customHeight="1">
      <c r="A1467" s="4" t="s">
        <v>2530</v>
      </c>
      <c r="B1467" s="8"/>
      <c r="C1467" s="6" t="s">
        <v>161</v>
      </c>
      <c r="D1467" s="12">
        <f>D780</f>
        <v>2.1801</v>
      </c>
    </row>
    <row r="1468" ht="25.5" customHeight="1">
      <c r="A1468" s="4" t="s">
        <v>2531</v>
      </c>
      <c r="B1468" s="8"/>
      <c r="C1468" s="6" t="s">
        <v>2532</v>
      </c>
      <c r="D1468" s="12">
        <f>AVERAGE(D1477,D2192,D102)</f>
        <v>8.373285965</v>
      </c>
    </row>
    <row r="1469" ht="25.5" customHeight="1">
      <c r="A1469" s="4" t="s">
        <v>2533</v>
      </c>
      <c r="B1469" s="8"/>
      <c r="C1469" s="6" t="s">
        <v>1388</v>
      </c>
      <c r="D1469" s="12">
        <f>AVERAGE(D1445,D581)</f>
        <v>5.03965</v>
      </c>
    </row>
    <row r="1470" ht="25.5" customHeight="1">
      <c r="A1470" s="4" t="s">
        <v>2534</v>
      </c>
      <c r="B1470" s="8"/>
      <c r="C1470" s="6" t="s">
        <v>283</v>
      </c>
      <c r="D1470" s="12">
        <f>D1489</f>
        <v>4.202633333</v>
      </c>
    </row>
    <row r="1471" ht="25.5" customHeight="1">
      <c r="A1471" s="4" t="s">
        <v>2535</v>
      </c>
      <c r="B1471" s="8"/>
      <c r="C1471" s="6" t="s">
        <v>285</v>
      </c>
      <c r="D1471" s="12">
        <f>D1476+(((D796-D1476)/19)*1)</f>
        <v>0.7943684211</v>
      </c>
    </row>
    <row r="1472" ht="25.5" customHeight="1">
      <c r="A1472" s="4" t="s">
        <v>2536</v>
      </c>
      <c r="B1472" s="8"/>
      <c r="C1472" s="6" t="s">
        <v>2537</v>
      </c>
      <c r="D1472" s="12">
        <f>AVERAGE(D1431,D1414)</f>
        <v>0.75465</v>
      </c>
    </row>
    <row r="1473" ht="25.5" customHeight="1">
      <c r="A1473" s="4" t="s">
        <v>2538</v>
      </c>
      <c r="B1473" s="8"/>
      <c r="C1473" s="6" t="s">
        <v>167</v>
      </c>
      <c r="D1473" s="12">
        <f>D1467</f>
        <v>2.1801</v>
      </c>
    </row>
    <row r="1474" ht="25.5" customHeight="1">
      <c r="A1474" s="4" t="s">
        <v>2539</v>
      </c>
      <c r="B1474" s="8"/>
      <c r="C1474" s="6" t="s">
        <v>169</v>
      </c>
      <c r="D1474" s="12">
        <f>D996+(((D1507-D996)/10)*7)</f>
        <v>1.1739</v>
      </c>
    </row>
    <row r="1475" ht="25.5" customHeight="1">
      <c r="A1475" s="4" t="s">
        <v>2540</v>
      </c>
      <c r="B1475" s="8"/>
      <c r="C1475" s="6" t="s">
        <v>171</v>
      </c>
      <c r="D1475" s="12">
        <f>D1431</f>
        <v>0.6708</v>
      </c>
    </row>
    <row r="1476" ht="25.5" customHeight="1">
      <c r="A1476" s="4" t="s">
        <v>2541</v>
      </c>
      <c r="B1476" s="8"/>
      <c r="C1476" s="6" t="s">
        <v>2542</v>
      </c>
      <c r="D1476" s="7">
        <f>D720+(((D2510-D720)/20)*16)</f>
        <v>0.6708</v>
      </c>
    </row>
    <row r="1477" ht="25.5" customHeight="1">
      <c r="A1477" s="4" t="s">
        <v>2543</v>
      </c>
      <c r="B1477" s="8"/>
      <c r="C1477" s="6" t="s">
        <v>291</v>
      </c>
      <c r="D1477" s="12">
        <f>D2189+(((D1454-D2189)/18)*8)</f>
        <v>8.242633333</v>
      </c>
    </row>
    <row r="1478" ht="25.5" customHeight="1">
      <c r="A1478" s="4" t="s">
        <v>2544</v>
      </c>
      <c r="B1478" s="8"/>
      <c r="C1478" s="6" t="s">
        <v>2545</v>
      </c>
      <c r="D1478" s="12">
        <f>AVERAGE(D1406,D1448,D1407)</f>
        <v>5.538155556</v>
      </c>
    </row>
    <row r="1479" ht="25.5" customHeight="1">
      <c r="A1479" s="4" t="s">
        <v>2546</v>
      </c>
      <c r="B1479" s="8"/>
      <c r="C1479" s="6" t="s">
        <v>2547</v>
      </c>
      <c r="D1479" s="12">
        <f>AVERAGE(D1450,D1501)</f>
        <v>4.2868</v>
      </c>
    </row>
    <row r="1480" ht="25.5" customHeight="1">
      <c r="A1480" s="4" t="s">
        <v>2548</v>
      </c>
      <c r="B1480" s="8"/>
      <c r="C1480" s="6" t="s">
        <v>1688</v>
      </c>
      <c r="D1480" s="12">
        <f>D1418</f>
        <v>1.0062</v>
      </c>
    </row>
    <row r="1481" ht="25.5" customHeight="1">
      <c r="A1481" s="4" t="s">
        <v>2549</v>
      </c>
      <c r="B1481" s="8"/>
      <c r="C1481" s="6" t="s">
        <v>2550</v>
      </c>
      <c r="D1481" s="12">
        <f>D1438</f>
        <v>5.5493</v>
      </c>
    </row>
    <row r="1482" ht="25.5" customHeight="1">
      <c r="A1482" s="4" t="s">
        <v>2551</v>
      </c>
      <c r="B1482" s="8"/>
      <c r="C1482" s="6" t="s">
        <v>2552</v>
      </c>
      <c r="D1482" s="7">
        <f>D720+(((D2510-D720)/20)*17)</f>
        <v>0.5031</v>
      </c>
    </row>
    <row r="1483" ht="25.5" customHeight="1">
      <c r="A1483" s="4" t="s">
        <v>2553</v>
      </c>
      <c r="B1483" s="8"/>
      <c r="C1483" s="6" t="s">
        <v>173</v>
      </c>
      <c r="D1483" s="7">
        <f>D720+(((D2510-D720)/20)*13)</f>
        <v>1.1739</v>
      </c>
    </row>
    <row r="1484" ht="25.5" customHeight="1">
      <c r="A1484" s="4" t="s">
        <v>2554</v>
      </c>
      <c r="B1484" s="8"/>
      <c r="C1484" s="6" t="s">
        <v>2555</v>
      </c>
      <c r="D1484" s="12">
        <f>AVERAGE(D1497,D1431)</f>
        <v>0.58695</v>
      </c>
    </row>
    <row r="1485" ht="25.5" customHeight="1">
      <c r="A1485" s="4" t="s">
        <v>2556</v>
      </c>
      <c r="B1485" s="8"/>
      <c r="C1485" s="6" t="s">
        <v>2557</v>
      </c>
      <c r="D1485" s="12">
        <f>D2189+(((D1454-D2189)/18)*15)</f>
        <v>3.5293</v>
      </c>
    </row>
    <row r="1486" ht="25.5" customHeight="1">
      <c r="A1486" s="4" t="s">
        <v>2558</v>
      </c>
      <c r="B1486" s="8"/>
      <c r="C1486" s="6" t="s">
        <v>177</v>
      </c>
      <c r="D1486" s="12">
        <f>AVERAGE(D1474,D772)</f>
        <v>1.677</v>
      </c>
    </row>
    <row r="1487" ht="25.5" customHeight="1">
      <c r="A1487" s="4" t="s">
        <v>2559</v>
      </c>
      <c r="B1487" s="8"/>
      <c r="C1487" s="6" t="s">
        <v>2560</v>
      </c>
      <c r="D1487" s="7">
        <f>D632+(((D996-D632)/8)*7)</f>
        <v>1.384538889</v>
      </c>
    </row>
    <row r="1488" ht="25.5" customHeight="1">
      <c r="A1488" s="4" t="s">
        <v>2561</v>
      </c>
      <c r="B1488" s="8"/>
      <c r="C1488" s="6" t="s">
        <v>301</v>
      </c>
      <c r="D1488" s="12">
        <f>D1443</f>
        <v>6.222633333</v>
      </c>
    </row>
    <row r="1489" ht="25.5" customHeight="1">
      <c r="A1489" s="4" t="s">
        <v>2562</v>
      </c>
      <c r="B1489" s="8"/>
      <c r="C1489" s="6" t="s">
        <v>307</v>
      </c>
      <c r="D1489" s="12">
        <f>D2189+(((D1454-D2189)/18)*14)</f>
        <v>4.202633333</v>
      </c>
    </row>
    <row r="1490" ht="25.5" customHeight="1">
      <c r="A1490" s="4" t="s">
        <v>2563</v>
      </c>
      <c r="B1490" s="8"/>
      <c r="C1490" s="6" t="s">
        <v>745</v>
      </c>
      <c r="D1490" s="12">
        <f>AVERAGE(D1469,D647)</f>
        <v>5.268725</v>
      </c>
    </row>
    <row r="1491" ht="25.5" customHeight="1">
      <c r="A1491" s="4" t="s">
        <v>2564</v>
      </c>
      <c r="B1491" s="8"/>
      <c r="C1491" s="6" t="s">
        <v>2565</v>
      </c>
      <c r="D1491" s="12">
        <f>AVERAGE(D1467,D772)</f>
        <v>2.1801</v>
      </c>
    </row>
    <row r="1492" ht="25.5" customHeight="1">
      <c r="A1492" s="4" t="s">
        <v>2566</v>
      </c>
      <c r="B1492" s="8"/>
      <c r="C1492" s="6" t="s">
        <v>179</v>
      </c>
      <c r="D1492" s="12">
        <f>D1414</f>
        <v>0.8385</v>
      </c>
    </row>
    <row r="1493" ht="25.5" customHeight="1">
      <c r="A1493" s="4" t="s">
        <v>2567</v>
      </c>
      <c r="B1493" s="8"/>
      <c r="C1493" s="6" t="s">
        <v>2568</v>
      </c>
      <c r="D1493" s="12">
        <f>AVERAGE(D1458,D1452,D1428,D1429,D1417)</f>
        <v>1.20018</v>
      </c>
    </row>
    <row r="1494" ht="25.5" customHeight="1">
      <c r="A1494" s="4" t="s">
        <v>2569</v>
      </c>
      <c r="B1494" s="8"/>
      <c r="C1494" s="6" t="s">
        <v>2570</v>
      </c>
      <c r="D1494" s="12">
        <f>AVERAGE(D1437,D1451)</f>
        <v>3.0243</v>
      </c>
    </row>
    <row r="1495" ht="25.5" customHeight="1">
      <c r="A1495" s="4" t="s">
        <v>2571</v>
      </c>
      <c r="B1495" s="8"/>
      <c r="C1495" s="6" t="s">
        <v>1538</v>
      </c>
      <c r="D1495" s="12">
        <f>AVERAGE(D1416,D109)</f>
        <v>0.58695</v>
      </c>
    </row>
    <row r="1496" ht="25.5" customHeight="1">
      <c r="A1496" s="4" t="s">
        <v>2572</v>
      </c>
      <c r="B1496" s="8"/>
      <c r="C1496" s="6" t="s">
        <v>2573</v>
      </c>
      <c r="D1496" s="7">
        <f>D720+(((D2510-D720)/20)*12)</f>
        <v>1.3416</v>
      </c>
    </row>
    <row r="1497" ht="25.5" customHeight="1">
      <c r="A1497" s="4" t="s">
        <v>2574</v>
      </c>
      <c r="B1497" s="8"/>
      <c r="C1497" s="6" t="s">
        <v>310</v>
      </c>
      <c r="D1497" s="12">
        <f>D996+(((D1507-D996)/10)*3)</f>
        <v>0.5031</v>
      </c>
    </row>
    <row r="1498" ht="25.5" customHeight="1">
      <c r="A1498" s="4" t="s">
        <v>2575</v>
      </c>
      <c r="B1498" s="8"/>
      <c r="C1498" s="6" t="s">
        <v>1414</v>
      </c>
      <c r="D1498" s="12">
        <f>AVERAGE(D1490,D558)</f>
        <v>5.3832625</v>
      </c>
    </row>
    <row r="1499" ht="25.5" customHeight="1">
      <c r="A1499" s="4" t="s">
        <v>2576</v>
      </c>
      <c r="B1499" s="8"/>
      <c r="C1499" s="6" t="s">
        <v>2577</v>
      </c>
      <c r="D1499" s="12">
        <f>AVERAGE(D1427,D1456)</f>
        <v>2.1801</v>
      </c>
    </row>
    <row r="1500" ht="25.5" customHeight="1">
      <c r="A1500" s="4" t="s">
        <v>2578</v>
      </c>
      <c r="B1500" s="8"/>
      <c r="C1500" s="6" t="s">
        <v>312</v>
      </c>
      <c r="D1500" s="7">
        <f>D720+(((D2510-D720)/20)*15)</f>
        <v>0.8385</v>
      </c>
    </row>
    <row r="1501" ht="25.5" customHeight="1">
      <c r="A1501" s="4" t="s">
        <v>2579</v>
      </c>
      <c r="B1501" s="8"/>
      <c r="C1501" s="6" t="s">
        <v>2580</v>
      </c>
      <c r="D1501" s="12">
        <f>AVERAGE(D1512,D1437)</f>
        <v>3.697633333</v>
      </c>
    </row>
    <row r="1502" ht="25.5" customHeight="1">
      <c r="A1502" s="4" t="s">
        <v>2581</v>
      </c>
      <c r="B1502" s="8"/>
      <c r="C1502" s="6" t="s">
        <v>183</v>
      </c>
      <c r="D1502" s="12">
        <f>D1467</f>
        <v>2.1801</v>
      </c>
    </row>
    <row r="1503" ht="25.5" customHeight="1">
      <c r="A1503" s="4" t="s">
        <v>2582</v>
      </c>
      <c r="B1503" s="8"/>
      <c r="C1503" s="6" t="s">
        <v>2009</v>
      </c>
      <c r="D1503" s="12">
        <f>D996+(((D1507-D996)/10)*9)</f>
        <v>1.5093</v>
      </c>
    </row>
    <row r="1504" ht="25.5" customHeight="1">
      <c r="A1504" s="4" t="s">
        <v>2583</v>
      </c>
      <c r="B1504" s="8"/>
      <c r="C1504" s="6" t="s">
        <v>185</v>
      </c>
      <c r="D1504" s="12">
        <f>AVERAGE(D1446,D1411,D1513,D1424,D1447,D1412)</f>
        <v>4.60440463</v>
      </c>
    </row>
    <row r="1505" ht="25.5" customHeight="1">
      <c r="A1505" s="4" t="s">
        <v>2584</v>
      </c>
      <c r="B1505" s="8"/>
      <c r="C1505" s="6" t="s">
        <v>2585</v>
      </c>
      <c r="D1505" s="12">
        <f>AVERAGE(D1454,D1496)</f>
        <v>1.42545</v>
      </c>
    </row>
    <row r="1506" ht="25.5" customHeight="1">
      <c r="A1506" s="4" t="s">
        <v>2586</v>
      </c>
      <c r="B1506" s="8"/>
      <c r="C1506" s="6" t="s">
        <v>2422</v>
      </c>
      <c r="D1506" s="7">
        <f>D720+(((D2510-D720)/20)*10)</f>
        <v>1.677</v>
      </c>
    </row>
    <row r="1507" ht="25.5" customHeight="1">
      <c r="A1507" s="4" t="s">
        <v>2587</v>
      </c>
      <c r="B1507" s="8"/>
      <c r="C1507" s="6" t="s">
        <v>2588</v>
      </c>
      <c r="D1507" s="7">
        <f>D720+(((D2510-D720)/20)*10)</f>
        <v>1.677</v>
      </c>
    </row>
    <row r="1508" ht="25.5" customHeight="1">
      <c r="A1508" s="4" t="s">
        <v>2589</v>
      </c>
      <c r="B1508" s="8"/>
      <c r="C1508" s="6" t="s">
        <v>2590</v>
      </c>
      <c r="D1508" s="12">
        <f>AVERAGE(D1420,D1500,D1476)</f>
        <v>0.8385</v>
      </c>
    </row>
    <row r="1509" ht="25.5" customHeight="1">
      <c r="A1509" s="4" t="s">
        <v>2591</v>
      </c>
      <c r="B1509" s="8"/>
      <c r="C1509" s="6" t="s">
        <v>324</v>
      </c>
      <c r="D1509" s="7">
        <f>D1459</f>
        <v>6.895966667</v>
      </c>
    </row>
    <row r="1510" ht="25.5" customHeight="1">
      <c r="A1510" s="4" t="s">
        <v>2592</v>
      </c>
      <c r="B1510" s="8"/>
      <c r="C1510" s="6" t="s">
        <v>1553</v>
      </c>
      <c r="D1510" s="12">
        <f>AVERAGE(D1444,D1469)</f>
        <v>4.5815</v>
      </c>
    </row>
    <row r="1511" ht="25.5" customHeight="1">
      <c r="A1511" s="4" t="s">
        <v>2593</v>
      </c>
      <c r="B1511" s="8"/>
      <c r="C1511" s="6" t="s">
        <v>2594</v>
      </c>
      <c r="D1511" s="7">
        <f>AVERAGE(D1438,D1426,D1509,D103)</f>
        <v>4.666975</v>
      </c>
    </row>
    <row r="1512" ht="25.5" customHeight="1">
      <c r="A1512" s="4" t="s">
        <v>2595</v>
      </c>
      <c r="B1512" s="8"/>
      <c r="C1512" s="6" t="s">
        <v>2596</v>
      </c>
      <c r="D1512" s="12">
        <f>AVERAGE(D1457,D1489,D1485)</f>
        <v>4.202633333</v>
      </c>
    </row>
    <row r="1513" ht="25.5" customHeight="1">
      <c r="A1513" s="4" t="s">
        <v>2597</v>
      </c>
      <c r="B1513" s="8"/>
      <c r="C1513" s="6" t="s">
        <v>2033</v>
      </c>
      <c r="D1513" s="12">
        <f>D1410</f>
        <v>7.5693</v>
      </c>
    </row>
    <row r="1514" ht="25.5" customHeight="1">
      <c r="A1514" s="4" t="s">
        <v>2598</v>
      </c>
      <c r="B1514" s="8"/>
      <c r="C1514" s="6" t="s">
        <v>1025</v>
      </c>
      <c r="D1514" s="12">
        <f>D996+(((D1507-D996)/10)*8)</f>
        <v>1.3416</v>
      </c>
    </row>
    <row r="1515" ht="25.5" customHeight="1">
      <c r="A1515" s="4" t="s">
        <v>2599</v>
      </c>
      <c r="B1515" s="8"/>
      <c r="C1515" s="6" t="s">
        <v>197</v>
      </c>
      <c r="D1515" s="12">
        <f>AVERAGE(D1432,D1440,D1454)</f>
        <v>2.182633333</v>
      </c>
    </row>
    <row r="1516" ht="25.5" customHeight="1">
      <c r="A1516" s="4" t="s">
        <v>2600</v>
      </c>
      <c r="B1516" s="8"/>
      <c r="C1516" s="6" t="s">
        <v>1028</v>
      </c>
      <c r="D1516" s="12">
        <f>AVERAGE(D1451,D1413,D1508)</f>
        <v>1.594838889</v>
      </c>
    </row>
    <row r="1517" ht="25.5" customHeight="1">
      <c r="A1517" s="4" t="s">
        <v>2601</v>
      </c>
      <c r="B1517" s="8"/>
      <c r="C1517" s="6" t="s">
        <v>1030</v>
      </c>
      <c r="D1517" s="12">
        <f>D2189+(((D1454-D2189)/18)*12)</f>
        <v>5.5493</v>
      </c>
    </row>
    <row r="1518" ht="25.5" customHeight="1">
      <c r="A1518" s="4" t="s">
        <v>2602</v>
      </c>
      <c r="B1518" s="8"/>
      <c r="C1518" s="6" t="s">
        <v>1042</v>
      </c>
      <c r="D1518" s="12">
        <f>D1445</f>
        <v>4.5815</v>
      </c>
    </row>
    <row r="1519" ht="25.5" customHeight="1">
      <c r="A1519" s="4" t="s">
        <v>2603</v>
      </c>
      <c r="B1519" s="11"/>
      <c r="C1519" s="6" t="s">
        <v>1208</v>
      </c>
      <c r="D1519" s="12">
        <f>AVERAGE(D1517,D1457)</f>
        <v>5.212633333</v>
      </c>
    </row>
    <row r="1520" ht="25.5" customHeight="1">
      <c r="A1520" s="4" t="s">
        <v>2604</v>
      </c>
      <c r="B1520" s="5" t="s">
        <v>2605</v>
      </c>
      <c r="C1520" s="6" t="s">
        <v>499</v>
      </c>
      <c r="D1520" s="12">
        <f>AVERAGE(D1131,D1551,D1538)</f>
        <v>91.85272359</v>
      </c>
    </row>
    <row r="1521" ht="25.5" customHeight="1">
      <c r="A1521" s="4" t="s">
        <v>2606</v>
      </c>
      <c r="B1521" s="8"/>
      <c r="C1521" s="6" t="s">
        <v>2607</v>
      </c>
      <c r="D1521" s="12">
        <f>AVERAGE(D1590,D1589,D2491)</f>
        <v>13.87666667</v>
      </c>
    </row>
    <row r="1522" ht="25.5" customHeight="1">
      <c r="A1522" s="4" t="s">
        <v>2608</v>
      </c>
      <c r="B1522" s="8"/>
      <c r="C1522" s="6" t="s">
        <v>2609</v>
      </c>
      <c r="D1522" s="12">
        <f>AVERAGE(D1562,D1576)</f>
        <v>121.7742188</v>
      </c>
    </row>
    <row r="1523" ht="25.5" customHeight="1">
      <c r="A1523" s="4" t="s">
        <v>2610</v>
      </c>
      <c r="B1523" s="8"/>
      <c r="C1523" s="6" t="s">
        <v>2611</v>
      </c>
      <c r="D1523" s="12">
        <f>AVERAGE(D1568,D1527,D1545,D1564)</f>
        <v>69.90742188</v>
      </c>
    </row>
    <row r="1524" ht="25.5" customHeight="1">
      <c r="A1524" s="4" t="s">
        <v>2612</v>
      </c>
      <c r="B1524" s="8"/>
      <c r="C1524" s="6" t="s">
        <v>210</v>
      </c>
      <c r="D1524" s="12">
        <f>D2455</f>
        <v>2.76</v>
      </c>
    </row>
    <row r="1525" ht="25.5" customHeight="1">
      <c r="A1525" s="4" t="s">
        <v>2613</v>
      </c>
      <c r="B1525" s="8"/>
      <c r="C1525" s="6" t="s">
        <v>2614</v>
      </c>
      <c r="D1525" s="12">
        <f>AVERAGE(D119,D1595,D1586,D1533)</f>
        <v>41.13120182</v>
      </c>
    </row>
    <row r="1526" ht="25.5" customHeight="1">
      <c r="A1526" s="4" t="s">
        <v>2615</v>
      </c>
      <c r="B1526" s="8"/>
      <c r="C1526" s="6" t="s">
        <v>82</v>
      </c>
      <c r="D1526" s="12">
        <f>AVERAGE(D1600,D1541)</f>
        <v>40.59140625</v>
      </c>
    </row>
    <row r="1527" ht="25.5" customHeight="1">
      <c r="A1527" s="4" t="s">
        <v>2616</v>
      </c>
      <c r="B1527" s="8"/>
      <c r="C1527" s="6" t="s">
        <v>218</v>
      </c>
      <c r="D1527" s="12">
        <f>D2510+(((D1168-D2510)/16)*7)</f>
        <v>63.1421875</v>
      </c>
    </row>
    <row r="1528" ht="25.5" customHeight="1">
      <c r="A1528" s="4" t="s">
        <v>2617</v>
      </c>
      <c r="B1528" s="8"/>
      <c r="C1528" s="6" t="s">
        <v>1086</v>
      </c>
      <c r="D1528" s="12">
        <f>AVERAGE(D1526,D1597)</f>
        <v>45.1015625</v>
      </c>
    </row>
    <row r="1529" ht="25.5" customHeight="1">
      <c r="A1529" s="4" t="s">
        <v>2618</v>
      </c>
      <c r="B1529" s="8"/>
      <c r="C1529" s="6" t="s">
        <v>90</v>
      </c>
      <c r="D1529" s="12">
        <f>D1568</f>
        <v>54.121875</v>
      </c>
    </row>
    <row r="1530" ht="25.5" customHeight="1">
      <c r="A1530" s="4" t="s">
        <v>2619</v>
      </c>
      <c r="B1530" s="8"/>
      <c r="C1530" s="6" t="s">
        <v>1956</v>
      </c>
      <c r="D1530" s="12">
        <f>AVERAGE(D1594,D1544,D1534)</f>
        <v>99.86774554</v>
      </c>
    </row>
    <row r="1531" ht="25.5" customHeight="1">
      <c r="A1531" s="4" t="s">
        <v>2620</v>
      </c>
      <c r="B1531" s="8"/>
      <c r="C1531" s="6" t="s">
        <v>92</v>
      </c>
      <c r="D1531" s="12">
        <f>D1557+(((D1168-D1557)/7)*1)</f>
        <v>85.61647321</v>
      </c>
    </row>
    <row r="1532" ht="25.5" customHeight="1">
      <c r="A1532" s="4" t="s">
        <v>2621</v>
      </c>
      <c r="B1532" s="8"/>
      <c r="C1532" s="6" t="s">
        <v>94</v>
      </c>
      <c r="D1532" s="12">
        <f>D1597</f>
        <v>49.61171875</v>
      </c>
    </row>
    <row r="1533" ht="25.5" customHeight="1">
      <c r="A1533" s="4" t="s">
        <v>2622</v>
      </c>
      <c r="B1533" s="8"/>
      <c r="C1533" s="6" t="s">
        <v>2623</v>
      </c>
      <c r="D1533" s="12">
        <f>AVERAGE(D1587,D1579,D1591,D152)</f>
        <v>18.45077763</v>
      </c>
    </row>
    <row r="1534" ht="25.5" customHeight="1">
      <c r="A1534" s="4" t="s">
        <v>2624</v>
      </c>
      <c r="B1534" s="8"/>
      <c r="C1534" s="6" t="s">
        <v>2625</v>
      </c>
      <c r="D1534" s="12">
        <f>D2510+(((D1168-D2510)/16)*12)</f>
        <v>108.24375</v>
      </c>
    </row>
    <row r="1535" ht="25.5" customHeight="1">
      <c r="A1535" s="4" t="s">
        <v>2626</v>
      </c>
      <c r="B1535" s="8"/>
      <c r="C1535" s="6" t="s">
        <v>106</v>
      </c>
      <c r="D1535" s="12">
        <f>AVERAGE(D1553,D1537,D1556)</f>
        <v>114.9707366</v>
      </c>
    </row>
    <row r="1536" ht="25.5" customHeight="1">
      <c r="A1536" s="4" t="s">
        <v>2627</v>
      </c>
      <c r="B1536" s="8"/>
      <c r="C1536" s="6" t="s">
        <v>670</v>
      </c>
      <c r="D1536" s="12">
        <f>D2510+(((D1168-D2510)/16)*1)</f>
        <v>9.0203125</v>
      </c>
    </row>
    <row r="1537" ht="25.5" customHeight="1">
      <c r="A1537" s="4" t="s">
        <v>2628</v>
      </c>
      <c r="B1537" s="8"/>
      <c r="C1537" s="6" t="s">
        <v>2629</v>
      </c>
      <c r="D1537" s="12">
        <f>D1557+(((D1168-D1557)/7)*4)</f>
        <v>114.9707366</v>
      </c>
    </row>
    <row r="1538" ht="25.5" customHeight="1">
      <c r="A1538" s="4" t="s">
        <v>2630</v>
      </c>
      <c r="B1538" s="8"/>
      <c r="C1538" s="6" t="s">
        <v>126</v>
      </c>
      <c r="D1538" s="12">
        <f>AVERAGE(D1562)</f>
        <v>117.2640625</v>
      </c>
    </row>
    <row r="1539" ht="25.5" customHeight="1">
      <c r="A1539" s="4" t="s">
        <v>2631</v>
      </c>
      <c r="B1539" s="8"/>
      <c r="C1539" s="6" t="s">
        <v>2632</v>
      </c>
      <c r="D1539" s="12">
        <f>AVERAGE(D1549,D80)</f>
        <v>184.164</v>
      </c>
    </row>
    <row r="1540" ht="25.5" customHeight="1">
      <c r="A1540" s="4" t="s">
        <v>2633</v>
      </c>
      <c r="B1540" s="8"/>
      <c r="C1540" s="6" t="s">
        <v>130</v>
      </c>
      <c r="D1540" s="12">
        <f>D80</f>
        <v>178.028</v>
      </c>
    </row>
    <row r="1541" ht="25.5" customHeight="1">
      <c r="A1541" s="4" t="s">
        <v>2634</v>
      </c>
      <c r="B1541" s="8"/>
      <c r="C1541" s="6" t="s">
        <v>2635</v>
      </c>
      <c r="D1541" s="12">
        <f>D2510+(((D1168-D2510)/16)*5)</f>
        <v>45.1015625</v>
      </c>
    </row>
    <row r="1542" ht="25.5" customHeight="1">
      <c r="A1542" s="4" t="s">
        <v>2636</v>
      </c>
      <c r="B1542" s="8"/>
      <c r="C1542" s="6" t="s">
        <v>896</v>
      </c>
      <c r="D1542" s="12">
        <f>D1152+(((D1549-D1152)/4)*2)</f>
        <v>159.65</v>
      </c>
    </row>
    <row r="1543" ht="25.5" customHeight="1">
      <c r="A1543" s="4" t="s">
        <v>2637</v>
      </c>
      <c r="B1543" s="8"/>
      <c r="C1543" s="6" t="s">
        <v>213</v>
      </c>
      <c r="D1543" s="12">
        <f>D1152+(((D1549-D1152)/4)*3)</f>
        <v>174.975</v>
      </c>
    </row>
    <row r="1544" ht="25.5" customHeight="1">
      <c r="A1544" s="4" t="s">
        <v>2638</v>
      </c>
      <c r="B1544" s="8"/>
      <c r="C1544" s="6" t="s">
        <v>2639</v>
      </c>
      <c r="D1544" s="12">
        <f>D2510+(((D1168-D2510)/16)*11)</f>
        <v>99.2234375</v>
      </c>
    </row>
    <row r="1545" ht="25.5" customHeight="1">
      <c r="A1545" s="4" t="s">
        <v>2640</v>
      </c>
      <c r="B1545" s="8"/>
      <c r="C1545" s="6" t="s">
        <v>701</v>
      </c>
      <c r="D1545" s="12">
        <f>D2510+(((D1168-D2510)/16)*8)</f>
        <v>72.1625</v>
      </c>
    </row>
    <row r="1546" ht="25.5" customHeight="1">
      <c r="A1546" s="4" t="s">
        <v>2641</v>
      </c>
      <c r="B1546" s="8"/>
      <c r="C1546" s="6" t="s">
        <v>2642</v>
      </c>
      <c r="D1546" s="12">
        <f>AVERAGE(D1601,D1545)</f>
        <v>76.67265625</v>
      </c>
    </row>
    <row r="1547" ht="25.5" customHeight="1">
      <c r="A1547" s="4" t="s">
        <v>2643</v>
      </c>
      <c r="B1547" s="8"/>
      <c r="C1547" s="6" t="s">
        <v>2644</v>
      </c>
      <c r="D1547" s="12">
        <f>D1594</f>
        <v>92.13604911</v>
      </c>
    </row>
    <row r="1548" ht="25.5" customHeight="1">
      <c r="A1548" s="4" t="s">
        <v>2645</v>
      </c>
      <c r="B1548" s="8"/>
      <c r="C1548" s="6" t="s">
        <v>2646</v>
      </c>
      <c r="D1548" s="12">
        <f>AVERAGE(D1590,D61,D78)</f>
        <v>43.23747106</v>
      </c>
    </row>
    <row r="1549" ht="25.5" customHeight="1">
      <c r="A1549" s="4" t="s">
        <v>2647</v>
      </c>
      <c r="B1549" s="8"/>
      <c r="C1549" s="9" t="s">
        <v>138</v>
      </c>
      <c r="D1549" s="12">
        <v>190.3</v>
      </c>
      <c r="E1549" s="10" t="s">
        <v>2648</v>
      </c>
    </row>
    <row r="1550" ht="25.5" customHeight="1">
      <c r="A1550" s="4" t="s">
        <v>2649</v>
      </c>
      <c r="B1550" s="8"/>
      <c r="C1550" s="6" t="s">
        <v>912</v>
      </c>
      <c r="D1550" s="12">
        <f>D1557+(((D1168-D1557)/7)*2)</f>
        <v>95.40122768</v>
      </c>
    </row>
    <row r="1551" ht="25.5" customHeight="1">
      <c r="A1551" s="4" t="s">
        <v>2650</v>
      </c>
      <c r="B1551" s="8"/>
      <c r="C1551" s="6" t="s">
        <v>140</v>
      </c>
      <c r="D1551" s="12">
        <f>AVERAGE(D1534,D1562)</f>
        <v>112.7539063</v>
      </c>
    </row>
    <row r="1552" ht="25.5" customHeight="1">
      <c r="A1552" s="4" t="s">
        <v>2651</v>
      </c>
      <c r="B1552" s="8"/>
      <c r="C1552" s="6" t="s">
        <v>1978</v>
      </c>
      <c r="D1552" s="12">
        <f>AVERAGE(D1565,D1558,D1583,D1535)</f>
        <v>114.545535</v>
      </c>
    </row>
    <row r="1553" ht="25.5" customHeight="1">
      <c r="A1553" s="4" t="s">
        <v>2652</v>
      </c>
      <c r="B1553" s="8"/>
      <c r="C1553" s="6" t="s">
        <v>920</v>
      </c>
      <c r="D1553" s="12">
        <f>D1557+(((D1168-D1557)/7)*3)</f>
        <v>105.1859821</v>
      </c>
    </row>
    <row r="1554" ht="25.5" customHeight="1">
      <c r="A1554" s="4" t="s">
        <v>2653</v>
      </c>
      <c r="B1554" s="8"/>
      <c r="C1554" s="6" t="s">
        <v>2654</v>
      </c>
      <c r="D1554" s="12">
        <f>AVERAGE(D1557,D91)</f>
        <v>72.90775391</v>
      </c>
    </row>
    <row r="1555" ht="25.5" customHeight="1">
      <c r="A1555" s="4" t="s">
        <v>2655</v>
      </c>
      <c r="B1555" s="8"/>
      <c r="C1555" s="6" t="s">
        <v>269</v>
      </c>
      <c r="D1555" s="12">
        <f>AVERAGE(D1573,D1600)</f>
        <v>31.57109375</v>
      </c>
    </row>
    <row r="1556" ht="25.5" customHeight="1">
      <c r="A1556" s="4" t="s">
        <v>2656</v>
      </c>
      <c r="B1556" s="8"/>
      <c r="C1556" s="6" t="s">
        <v>143</v>
      </c>
      <c r="D1556" s="12">
        <f>D1557+(((D1168-D1557)/7)*5)</f>
        <v>124.7554911</v>
      </c>
    </row>
    <row r="1557" ht="25.5" customHeight="1">
      <c r="A1557" s="4" t="s">
        <v>2657</v>
      </c>
      <c r="B1557" s="8"/>
      <c r="C1557" s="6" t="s">
        <v>145</v>
      </c>
      <c r="D1557" s="7">
        <f>D68+(((D1544-D68)/8)*4)</f>
        <v>75.83171875</v>
      </c>
    </row>
    <row r="1558" ht="25.5" customHeight="1">
      <c r="A1558" s="4" t="s">
        <v>2658</v>
      </c>
      <c r="B1558" s="8"/>
      <c r="C1558" s="6" t="s">
        <v>147</v>
      </c>
      <c r="D1558" s="12">
        <f>AVERAGE(D1562,D1534)</f>
        <v>112.7539063</v>
      </c>
    </row>
    <row r="1559" ht="25.5" customHeight="1">
      <c r="A1559" s="4" t="s">
        <v>2659</v>
      </c>
      <c r="B1559" s="8"/>
      <c r="C1559" s="6" t="s">
        <v>2660</v>
      </c>
      <c r="D1559" s="12">
        <f>AVERAGE(D1564,D1581)</f>
        <v>88.86535156</v>
      </c>
    </row>
    <row r="1560" ht="25.5" customHeight="1">
      <c r="A1560" s="4" t="s">
        <v>2661</v>
      </c>
      <c r="B1560" s="8"/>
      <c r="C1560" s="6" t="s">
        <v>149</v>
      </c>
      <c r="D1560" s="12">
        <f>AVERAGE(D1592,D1577,D1528)</f>
        <v>31.70386285</v>
      </c>
    </row>
    <row r="1561" ht="25.5" customHeight="1">
      <c r="A1561" s="4" t="s">
        <v>2662</v>
      </c>
      <c r="B1561" s="8"/>
      <c r="C1561" s="6" t="s">
        <v>2663</v>
      </c>
      <c r="D1561" s="12">
        <f>AVERAGE(D1545,D1527)</f>
        <v>67.65234375</v>
      </c>
    </row>
    <row r="1562" ht="25.5" customHeight="1">
      <c r="A1562" s="4" t="s">
        <v>2664</v>
      </c>
      <c r="B1562" s="8"/>
      <c r="C1562" s="6" t="s">
        <v>273</v>
      </c>
      <c r="D1562" s="12">
        <f>D2510+(((D1168-D2510)/16)*13)</f>
        <v>117.2640625</v>
      </c>
    </row>
    <row r="1563" ht="25.5" customHeight="1">
      <c r="A1563" s="4" t="s">
        <v>2665</v>
      </c>
      <c r="B1563" s="8"/>
      <c r="C1563" s="6" t="s">
        <v>153</v>
      </c>
      <c r="D1563" s="12">
        <f>D85</f>
        <v>64.13585938</v>
      </c>
    </row>
    <row r="1564" ht="25.5" customHeight="1">
      <c r="A1564" s="4" t="s">
        <v>2666</v>
      </c>
      <c r="B1564" s="8"/>
      <c r="C1564" s="6" t="s">
        <v>157</v>
      </c>
      <c r="D1564" s="12">
        <f>D2510+(((D1168-D2510)/16)*10)</f>
        <v>90.203125</v>
      </c>
    </row>
    <row r="1565" ht="25.5" customHeight="1">
      <c r="A1565" s="4" t="s">
        <v>2667</v>
      </c>
      <c r="B1565" s="8"/>
      <c r="C1565" s="6" t="s">
        <v>161</v>
      </c>
      <c r="D1565" s="12">
        <f>AVERAGE(D1556,D1574)</f>
        <v>129.6478683</v>
      </c>
    </row>
    <row r="1566" ht="25.5" customHeight="1">
      <c r="A1566" s="4" t="s">
        <v>2668</v>
      </c>
      <c r="B1566" s="8"/>
      <c r="C1566" s="6" t="s">
        <v>163</v>
      </c>
      <c r="D1566" s="12">
        <f>AVERAGE(D2455,D2510,D1536,D1588)</f>
        <v>7.455234375</v>
      </c>
    </row>
    <row r="1567" ht="25.5" customHeight="1">
      <c r="A1567" s="4" t="s">
        <v>2669</v>
      </c>
      <c r="B1567" s="8"/>
      <c r="C1567" s="6" t="s">
        <v>167</v>
      </c>
      <c r="D1567" s="12">
        <f>AVERAGE(D1528,D1532,D1563,D69)</f>
        <v>55.01525879</v>
      </c>
    </row>
    <row r="1568" ht="25.5" customHeight="1">
      <c r="A1568" s="4" t="s">
        <v>2670</v>
      </c>
      <c r="B1568" s="8"/>
      <c r="C1568" s="6" t="s">
        <v>169</v>
      </c>
      <c r="D1568" s="12">
        <f>D2510+(((D1168-D2510)/16)*6)</f>
        <v>54.121875</v>
      </c>
    </row>
    <row r="1569" ht="25.5" customHeight="1">
      <c r="A1569" s="4" t="s">
        <v>2671</v>
      </c>
      <c r="B1569" s="8"/>
      <c r="C1569" s="6" t="s">
        <v>2672</v>
      </c>
      <c r="D1569" s="12">
        <f>D1570</f>
        <v>81.67964844</v>
      </c>
    </row>
    <row r="1570" ht="25.5" customHeight="1">
      <c r="A1570" s="4" t="s">
        <v>2673</v>
      </c>
      <c r="B1570" s="8"/>
      <c r="C1570" s="6" t="s">
        <v>291</v>
      </c>
      <c r="D1570" s="7">
        <f>D68+(((D1544-D68)/8)*5)</f>
        <v>81.67964844</v>
      </c>
    </row>
    <row r="1571" ht="25.5" customHeight="1">
      <c r="A1571" s="4" t="s">
        <v>2674</v>
      </c>
      <c r="B1571" s="8"/>
      <c r="C1571" s="6" t="s">
        <v>2675</v>
      </c>
      <c r="D1571" s="12">
        <f>AVERAGE(D1554,D85)</f>
        <v>68.52180664</v>
      </c>
    </row>
    <row r="1572" ht="25.5" customHeight="1">
      <c r="A1572" s="4" t="s">
        <v>2676</v>
      </c>
      <c r="B1572" s="8"/>
      <c r="C1572" s="6" t="s">
        <v>2677</v>
      </c>
      <c r="D1572" s="12">
        <f>AVERAGE(D1597,D1529)</f>
        <v>51.86679688</v>
      </c>
    </row>
    <row r="1573" ht="25.5" customHeight="1">
      <c r="A1573" s="4" t="s">
        <v>2678</v>
      </c>
      <c r="B1573" s="8"/>
      <c r="C1573" s="6" t="s">
        <v>2679</v>
      </c>
      <c r="D1573" s="12">
        <f>D2510+(((D1168-D2510)/16)*3)</f>
        <v>27.0609375</v>
      </c>
    </row>
    <row r="1574" ht="25.5" customHeight="1">
      <c r="A1574" s="4" t="s">
        <v>2680</v>
      </c>
      <c r="B1574" s="8"/>
      <c r="C1574" s="6" t="s">
        <v>2681</v>
      </c>
      <c r="D1574" s="12">
        <f>D1557+(((D1168-D1557)/7)*6)</f>
        <v>134.5402455</v>
      </c>
    </row>
    <row r="1575" ht="25.5" customHeight="1">
      <c r="A1575" s="4" t="s">
        <v>2682</v>
      </c>
      <c r="B1575" s="8"/>
      <c r="C1575" s="6" t="s">
        <v>173</v>
      </c>
      <c r="D1575" s="12">
        <f>AVERAGE(D1553,D1537)</f>
        <v>110.0783594</v>
      </c>
    </row>
    <row r="1576" ht="25.5" customHeight="1">
      <c r="A1576" s="4" t="s">
        <v>2683</v>
      </c>
      <c r="B1576" s="8"/>
      <c r="C1576" s="6" t="s">
        <v>177</v>
      </c>
      <c r="D1576" s="12">
        <f>D2510+(((D1168-D2510)/16)*14)</f>
        <v>126.284375</v>
      </c>
    </row>
    <row r="1577" ht="25.5" customHeight="1">
      <c r="A1577" s="4" t="s">
        <v>2684</v>
      </c>
      <c r="B1577" s="8"/>
      <c r="C1577" s="6" t="s">
        <v>2685</v>
      </c>
      <c r="D1577" s="12">
        <f>AVERAGE(D1555,D1526)</f>
        <v>36.08125</v>
      </c>
    </row>
    <row r="1578" ht="25.5" customHeight="1">
      <c r="A1578" s="4" t="s">
        <v>2686</v>
      </c>
      <c r="B1578" s="8"/>
      <c r="C1578" s="6" t="s">
        <v>2687</v>
      </c>
      <c r="D1578" s="12">
        <f>AVERAGE(D1590,D1589,D1592)</f>
        <v>15.45292535</v>
      </c>
    </row>
    <row r="1579" ht="25.5" customHeight="1">
      <c r="A1579" s="4" t="s">
        <v>2688</v>
      </c>
      <c r="B1579" s="8"/>
      <c r="C1579" s="6" t="s">
        <v>970</v>
      </c>
      <c r="D1579" s="12">
        <f>D1573</f>
        <v>27.0609375</v>
      </c>
    </row>
    <row r="1580" ht="25.5" customHeight="1">
      <c r="A1580" s="4" t="s">
        <v>2689</v>
      </c>
      <c r="B1580" s="8"/>
      <c r="C1580" s="6" t="s">
        <v>2690</v>
      </c>
      <c r="D1580" s="7">
        <f>D68+(((D1544-D68)/8)*7)</f>
        <v>93.37550781</v>
      </c>
    </row>
    <row r="1581" ht="25.5" customHeight="1">
      <c r="A1581" s="4" t="s">
        <v>2691</v>
      </c>
      <c r="B1581" s="8"/>
      <c r="C1581" s="6" t="s">
        <v>312</v>
      </c>
      <c r="D1581" s="7">
        <f>D68+(((D1544-D68)/8)*6)</f>
        <v>87.52757813</v>
      </c>
    </row>
    <row r="1582" ht="25.5" customHeight="1">
      <c r="A1582" s="4" t="s">
        <v>2692</v>
      </c>
      <c r="B1582" s="8"/>
      <c r="C1582" s="6" t="s">
        <v>2693</v>
      </c>
      <c r="D1582" s="12">
        <f>D1601</f>
        <v>81.1828125</v>
      </c>
    </row>
    <row r="1583" ht="25.5" customHeight="1">
      <c r="A1583" s="4" t="s">
        <v>2694</v>
      </c>
      <c r="B1583" s="8"/>
      <c r="C1583" s="6" t="s">
        <v>1912</v>
      </c>
      <c r="D1583" s="12">
        <f>AVERAGE(D1534,D1580)</f>
        <v>100.8096289</v>
      </c>
    </row>
    <row r="1584" ht="25.5" customHeight="1">
      <c r="A1584" s="4" t="s">
        <v>2695</v>
      </c>
      <c r="B1584" s="8"/>
      <c r="C1584" s="6" t="s">
        <v>1727</v>
      </c>
      <c r="D1584" s="12">
        <f>AVERAGE(D1580,D1581,D1550,D1553)</f>
        <v>95.37257394</v>
      </c>
    </row>
    <row r="1585" ht="25.5" customHeight="1">
      <c r="A1585" s="4" t="s">
        <v>2696</v>
      </c>
      <c r="B1585" s="8"/>
      <c r="C1585" s="6" t="s">
        <v>324</v>
      </c>
      <c r="D1585" s="12">
        <f>AVERAGE(D1537,D1574,D1543,D1549)</f>
        <v>153.6964955</v>
      </c>
    </row>
    <row r="1586" ht="25.5" customHeight="1">
      <c r="A1586" s="4" t="s">
        <v>2697</v>
      </c>
      <c r="B1586" s="8"/>
      <c r="C1586" s="6" t="s">
        <v>2698</v>
      </c>
      <c r="D1586" s="12">
        <f>AVERAGE(D1546,D1561,D1587)</f>
        <v>60.13541667</v>
      </c>
    </row>
    <row r="1587" ht="25.5" customHeight="1">
      <c r="A1587" s="4" t="s">
        <v>2699</v>
      </c>
      <c r="B1587" s="8"/>
      <c r="C1587" s="6" t="s">
        <v>2700</v>
      </c>
      <c r="D1587" s="12">
        <f>AVERAGE(D1541,D1600,D1573)</f>
        <v>36.08125</v>
      </c>
    </row>
    <row r="1588" ht="25.5" customHeight="1">
      <c r="A1588" s="4" t="s">
        <v>2701</v>
      </c>
      <c r="B1588" s="8"/>
      <c r="C1588" s="6" t="s">
        <v>2702</v>
      </c>
      <c r="D1588" s="12">
        <f>D2510+(((D1168-D2510)/16)*2)</f>
        <v>18.040625</v>
      </c>
    </row>
    <row r="1589" ht="25.5" customHeight="1">
      <c r="A1589" s="4" t="s">
        <v>2703</v>
      </c>
      <c r="B1589" s="8"/>
      <c r="C1589" s="6" t="s">
        <v>2704</v>
      </c>
      <c r="D1589" s="12">
        <f>AVERAGE(D1524,D2466)</f>
        <v>4.14</v>
      </c>
    </row>
    <row r="1590" ht="25.5" customHeight="1">
      <c r="A1590" s="4" t="s">
        <v>2705</v>
      </c>
      <c r="B1590" s="8"/>
      <c r="C1590" s="6" t="s">
        <v>2706</v>
      </c>
      <c r="D1590" s="12">
        <f>AVERAGE(D70,D2467)</f>
        <v>28.29</v>
      </c>
    </row>
    <row r="1591" ht="25.5" customHeight="1">
      <c r="A1591" s="4" t="s">
        <v>2707</v>
      </c>
      <c r="B1591" s="8"/>
      <c r="C1591" s="6" t="s">
        <v>2708</v>
      </c>
      <c r="D1591" s="12">
        <f>AVERAGE(D1588,D1536,D116)</f>
        <v>9.0762125</v>
      </c>
    </row>
    <row r="1592" ht="25.5" customHeight="1">
      <c r="A1592" s="4" t="s">
        <v>2709</v>
      </c>
      <c r="B1592" s="8"/>
      <c r="C1592" s="6" t="s">
        <v>326</v>
      </c>
      <c r="D1592" s="12">
        <f>AVERAGE(D1524,D1566,D1555)</f>
        <v>13.92877604</v>
      </c>
    </row>
    <row r="1593" ht="25.5" customHeight="1">
      <c r="A1593" s="4" t="s">
        <v>2710</v>
      </c>
      <c r="B1593" s="8"/>
      <c r="C1593" s="6" t="s">
        <v>2711</v>
      </c>
      <c r="D1593" s="12">
        <f>D1576</f>
        <v>126.284375</v>
      </c>
    </row>
    <row r="1594" ht="25.5" customHeight="1">
      <c r="A1594" s="4" t="s">
        <v>2712</v>
      </c>
      <c r="B1594" s="8"/>
      <c r="C1594" s="6" t="s">
        <v>1025</v>
      </c>
      <c r="D1594" s="12">
        <f>D2655+(((D1544-D2655)/14)*13)</f>
        <v>92.13604911</v>
      </c>
    </row>
    <row r="1595" ht="25.5" customHeight="1">
      <c r="A1595" s="4" t="s">
        <v>2713</v>
      </c>
      <c r="B1595" s="8"/>
      <c r="C1595" s="6" t="s">
        <v>197</v>
      </c>
      <c r="D1595" s="12">
        <f>AVERAGE(D1547,D1582,D1546)</f>
        <v>83.33050595</v>
      </c>
    </row>
    <row r="1596" ht="25.5" customHeight="1">
      <c r="A1596" s="4" t="s">
        <v>2714</v>
      </c>
      <c r="B1596" s="8"/>
      <c r="C1596" s="6" t="s">
        <v>1028</v>
      </c>
      <c r="D1596" s="12">
        <f>AVERAGE(D1531,D1553)</f>
        <v>95.40122768</v>
      </c>
    </row>
    <row r="1597" ht="25.5" customHeight="1">
      <c r="A1597" s="4" t="s">
        <v>2715</v>
      </c>
      <c r="B1597" s="8"/>
      <c r="C1597" s="6" t="s">
        <v>1030</v>
      </c>
      <c r="D1597" s="12">
        <f>AVERAGE(D1541,D1568)</f>
        <v>49.61171875</v>
      </c>
    </row>
    <row r="1598" ht="25.5" customHeight="1">
      <c r="A1598" s="4" t="s">
        <v>2716</v>
      </c>
      <c r="B1598" s="8"/>
      <c r="C1598" s="6" t="s">
        <v>1040</v>
      </c>
      <c r="D1598" s="12">
        <f>AVERAGE(D1131,D1538,D1522,D1135)</f>
        <v>92.01226788</v>
      </c>
    </row>
    <row r="1599" ht="25.5" customHeight="1">
      <c r="A1599" s="4" t="s">
        <v>2717</v>
      </c>
      <c r="B1599" s="8"/>
      <c r="C1599" s="6" t="s">
        <v>201</v>
      </c>
      <c r="D1599" s="12">
        <f>AVERAGE(D1529,D1523,D1569,D1554)</f>
        <v>69.6541748</v>
      </c>
    </row>
    <row r="1600" ht="25.5" customHeight="1">
      <c r="A1600" s="4" t="s">
        <v>2718</v>
      </c>
      <c r="B1600" s="8"/>
      <c r="C1600" s="6" t="s">
        <v>2719</v>
      </c>
      <c r="D1600" s="12">
        <f>D2510+(((D1168-D2510)/16)*4)</f>
        <v>36.08125</v>
      </c>
    </row>
    <row r="1601" ht="25.5" customHeight="1">
      <c r="A1601" s="4" t="s">
        <v>2720</v>
      </c>
      <c r="B1601" s="11"/>
      <c r="C1601" s="6" t="s">
        <v>2721</v>
      </c>
      <c r="D1601" s="12">
        <f>D2510+(((D1168-D2510)/16)*9)</f>
        <v>81.1828125</v>
      </c>
    </row>
    <row r="1602" ht="25.5" customHeight="1">
      <c r="A1602" s="4" t="s">
        <v>2722</v>
      </c>
      <c r="B1602" s="5" t="s">
        <v>2723</v>
      </c>
      <c r="C1602" s="6" t="s">
        <v>2724</v>
      </c>
      <c r="D1602" s="12">
        <f>D1648+(((D2798-D1648)/11)*1)</f>
        <v>4.25987715</v>
      </c>
    </row>
    <row r="1603" ht="25.5" customHeight="1">
      <c r="A1603" s="4" t="s">
        <v>2725</v>
      </c>
      <c r="B1603" s="8"/>
      <c r="C1603" s="6" t="s">
        <v>2726</v>
      </c>
      <c r="D1603" s="7">
        <f>D681+(((D1341-D681)/37)*15)</f>
        <v>5.819567568</v>
      </c>
    </row>
    <row r="1604" ht="25.5" customHeight="1">
      <c r="A1604" s="4" t="s">
        <v>2727</v>
      </c>
      <c r="B1604" s="8"/>
      <c r="C1604" s="6" t="s">
        <v>1223</v>
      </c>
      <c r="D1604" s="12">
        <f>D1609</f>
        <v>3.979702703</v>
      </c>
    </row>
    <row r="1605" ht="25.5" customHeight="1">
      <c r="A1605" s="4" t="s">
        <v>2728</v>
      </c>
      <c r="B1605" s="8"/>
      <c r="C1605" s="6" t="s">
        <v>2729</v>
      </c>
      <c r="D1605" s="7">
        <f>D681+(((D1341-D681)/37)*9)</f>
        <v>4.242540541</v>
      </c>
    </row>
    <row r="1606" ht="25.5" customHeight="1">
      <c r="A1606" s="4" t="s">
        <v>2730</v>
      </c>
      <c r="B1606" s="8"/>
      <c r="C1606" s="6" t="s">
        <v>2731</v>
      </c>
      <c r="D1606" s="12">
        <f>AVERAGE(D1603,D1657,D1649,D1635)</f>
        <v>5.359601351</v>
      </c>
    </row>
    <row r="1607" ht="25.5" customHeight="1">
      <c r="A1607" s="4" t="s">
        <v>2732</v>
      </c>
      <c r="B1607" s="8"/>
      <c r="C1607" s="6" t="s">
        <v>1790</v>
      </c>
      <c r="D1607" s="12">
        <f>AVERAGE(D1610,D3128)</f>
        <v>7.647910934</v>
      </c>
    </row>
    <row r="1608" ht="25.5" customHeight="1">
      <c r="A1608" s="4" t="s">
        <v>2733</v>
      </c>
      <c r="B1608" s="8"/>
      <c r="C1608" s="6" t="s">
        <v>2734</v>
      </c>
      <c r="D1608" s="12">
        <f>D1623</f>
        <v>3.979702703</v>
      </c>
    </row>
    <row r="1609" ht="25.5" customHeight="1">
      <c r="A1609" s="4" t="s">
        <v>2735</v>
      </c>
      <c r="B1609" s="8"/>
      <c r="C1609" s="6" t="s">
        <v>2736</v>
      </c>
      <c r="D1609" s="12">
        <f>AVERAGE(D1638,D1651,D1608)</f>
        <v>3.979702703</v>
      </c>
    </row>
    <row r="1610" ht="25.5" customHeight="1">
      <c r="A1610" s="4" t="s">
        <v>2737</v>
      </c>
      <c r="B1610" s="8"/>
      <c r="C1610" s="6" t="s">
        <v>527</v>
      </c>
      <c r="D1610" s="12">
        <f>D1657+(((D1390-D1657)/22)*3)</f>
        <v>8.424902948</v>
      </c>
    </row>
    <row r="1611" ht="25.5" customHeight="1">
      <c r="A1611" s="4" t="s">
        <v>2738</v>
      </c>
      <c r="B1611" s="8"/>
      <c r="C1611" s="6" t="s">
        <v>2739</v>
      </c>
      <c r="D1611" s="12">
        <f>AVERAGE(D1654,D1644)</f>
        <v>9.73948234</v>
      </c>
    </row>
    <row r="1612" ht="25.5" customHeight="1">
      <c r="A1612" s="4" t="s">
        <v>2740</v>
      </c>
      <c r="B1612" s="8"/>
      <c r="C1612" s="6" t="s">
        <v>845</v>
      </c>
      <c r="D1612" s="12">
        <f>D1657+(((D1390-D1657)/22)*5)</f>
        <v>10.33701843</v>
      </c>
    </row>
    <row r="1613" ht="25.5" customHeight="1">
      <c r="A1613" s="4" t="s">
        <v>2741</v>
      </c>
      <c r="B1613" s="8"/>
      <c r="C1613" s="6" t="s">
        <v>2742</v>
      </c>
      <c r="D1613" s="7">
        <f>D681+(((D1341-D681)/37)*6)</f>
        <v>3.454027027</v>
      </c>
    </row>
    <row r="1614" ht="25.5" customHeight="1">
      <c r="A1614" s="4" t="s">
        <v>2743</v>
      </c>
      <c r="B1614" s="8"/>
      <c r="C1614" s="6" t="s">
        <v>2744</v>
      </c>
      <c r="D1614" s="12">
        <f>AVERAGE(D1774,D1656,D1641,D1610)</f>
        <v>10.33701843</v>
      </c>
    </row>
    <row r="1615" ht="25.5" customHeight="1">
      <c r="A1615" s="4" t="s">
        <v>2745</v>
      </c>
      <c r="B1615" s="8"/>
      <c r="C1615" s="6" t="s">
        <v>2746</v>
      </c>
      <c r="D1615" s="12">
        <f>AVERAGE(D1609,D1624,D1655,D1620,D1634,D1636)</f>
        <v>5.377664005</v>
      </c>
    </row>
    <row r="1616" ht="25.5" customHeight="1">
      <c r="A1616" s="4" t="s">
        <v>2747</v>
      </c>
      <c r="B1616" s="8"/>
      <c r="C1616" s="6" t="s">
        <v>2748</v>
      </c>
      <c r="D1616" s="12">
        <f>AVERAGE(D1633,D1640,D1626,D1651,D1638)</f>
        <v>3.559162162</v>
      </c>
    </row>
    <row r="1617" ht="25.5" customHeight="1">
      <c r="A1617" s="4" t="s">
        <v>2749</v>
      </c>
      <c r="B1617" s="8"/>
      <c r="C1617" s="6" t="s">
        <v>1336</v>
      </c>
      <c r="D1617" s="7">
        <f>D681+(((D1341-D681)/37)*10)</f>
        <v>4.505378378</v>
      </c>
    </row>
    <row r="1618" ht="25.5" customHeight="1">
      <c r="A1618" s="4" t="s">
        <v>2750</v>
      </c>
      <c r="B1618" s="8"/>
      <c r="C1618" s="6" t="s">
        <v>545</v>
      </c>
      <c r="D1618" s="12">
        <f>AVERAGE(D1645,D1641)</f>
        <v>8.424902948</v>
      </c>
    </row>
    <row r="1619" ht="25.5" customHeight="1">
      <c r="A1619" s="4" t="s">
        <v>2751</v>
      </c>
      <c r="B1619" s="8"/>
      <c r="C1619" s="6" t="s">
        <v>2752</v>
      </c>
      <c r="D1619" s="12">
        <f>AVERAGE(D1638,D1652)</f>
        <v>3.979702703</v>
      </c>
    </row>
    <row r="1620" ht="25.5" customHeight="1">
      <c r="A1620" s="4" t="s">
        <v>2753</v>
      </c>
      <c r="B1620" s="8"/>
      <c r="C1620" s="6" t="s">
        <v>2754</v>
      </c>
      <c r="D1620" s="12">
        <f>AVERAGE(D1650,D1649,D1657)</f>
        <v>5.293891892</v>
      </c>
    </row>
    <row r="1621" ht="25.5" customHeight="1">
      <c r="A1621" s="4" t="s">
        <v>2755</v>
      </c>
      <c r="B1621" s="8"/>
      <c r="C1621" s="6" t="s">
        <v>2756</v>
      </c>
      <c r="D1621" s="7">
        <f>D681+(((D1341-D681)/37)*4)</f>
        <v>2.928351351</v>
      </c>
    </row>
    <row r="1622" ht="25.5" customHeight="1">
      <c r="A1622" s="4" t="s">
        <v>2757</v>
      </c>
      <c r="B1622" s="8"/>
      <c r="C1622" s="6" t="s">
        <v>2758</v>
      </c>
      <c r="D1622" s="12">
        <f>AVERAGE(D1627,D1609)</f>
        <v>3.979702703</v>
      </c>
    </row>
    <row r="1623" ht="25.5" customHeight="1">
      <c r="A1623" s="4" t="s">
        <v>2759</v>
      </c>
      <c r="B1623" s="8"/>
      <c r="C1623" s="6" t="s">
        <v>140</v>
      </c>
      <c r="D1623" s="7">
        <f>D681+(((D1341-D681)/37)*8)</f>
        <v>3.979702703</v>
      </c>
    </row>
    <row r="1624" ht="25.5" customHeight="1">
      <c r="A1624" s="4" t="s">
        <v>2760</v>
      </c>
      <c r="B1624" s="8"/>
      <c r="C1624" s="6" t="s">
        <v>2761</v>
      </c>
      <c r="D1624" s="12">
        <f>D1608</f>
        <v>3.979702703</v>
      </c>
    </row>
    <row r="1625" ht="25.5" customHeight="1">
      <c r="A1625" s="4" t="s">
        <v>2762</v>
      </c>
      <c r="B1625" s="8"/>
      <c r="C1625" s="6" t="s">
        <v>402</v>
      </c>
      <c r="D1625" s="12">
        <f>D1633</f>
        <v>2.665513514</v>
      </c>
    </row>
    <row r="1626" ht="25.5" customHeight="1">
      <c r="A1626" s="4" t="s">
        <v>2763</v>
      </c>
      <c r="B1626" s="8"/>
      <c r="C1626" s="6" t="s">
        <v>2764</v>
      </c>
      <c r="D1626" s="12">
        <f>D1623</f>
        <v>3.979702703</v>
      </c>
    </row>
    <row r="1627" ht="25.5" customHeight="1">
      <c r="A1627" s="4" t="s">
        <v>2765</v>
      </c>
      <c r="B1627" s="8"/>
      <c r="C1627" s="6" t="s">
        <v>714</v>
      </c>
      <c r="D1627" s="12">
        <f>AVERAGE(D1652,D1638)</f>
        <v>3.979702703</v>
      </c>
    </row>
    <row r="1628" ht="25.5" customHeight="1">
      <c r="A1628" s="4" t="s">
        <v>2766</v>
      </c>
      <c r="B1628" s="8"/>
      <c r="C1628" s="6" t="s">
        <v>273</v>
      </c>
      <c r="D1628" s="12">
        <f>AVERAGE(D662,D1646,D1616)</f>
        <v>2.610057558</v>
      </c>
    </row>
    <row r="1629" ht="25.5" customHeight="1">
      <c r="A1629" s="4" t="s">
        <v>2767</v>
      </c>
      <c r="B1629" s="8"/>
      <c r="C1629" s="6" t="s">
        <v>157</v>
      </c>
      <c r="D1629" s="12">
        <f>AVERAGE(D1617,D1623,D1648,D1602)</f>
        <v>4.115455774</v>
      </c>
    </row>
    <row r="1630" ht="25.5" customHeight="1">
      <c r="A1630" s="4" t="s">
        <v>2768</v>
      </c>
      <c r="B1630" s="8"/>
      <c r="C1630" s="6" t="s">
        <v>2769</v>
      </c>
      <c r="D1630" s="12">
        <f>AVERAGE(D1641,D1612)</f>
        <v>9.858989558</v>
      </c>
    </row>
    <row r="1631" ht="25.5" customHeight="1">
      <c r="A1631" s="4" t="s">
        <v>2770</v>
      </c>
      <c r="B1631" s="8"/>
      <c r="C1631" s="6" t="s">
        <v>2771</v>
      </c>
      <c r="D1631" s="12">
        <f>AVERAGE(D1608,D1626,D1605,D1617,D1635,D1650)</f>
        <v>4.417765766</v>
      </c>
    </row>
    <row r="1632" ht="25.5" customHeight="1">
      <c r="A1632" s="4" t="s">
        <v>2772</v>
      </c>
      <c r="B1632" s="8"/>
      <c r="C1632" s="6" t="s">
        <v>574</v>
      </c>
      <c r="D1632" s="7">
        <f>D681+(((D1341-D681)/37)*2)</f>
        <v>2.402675676</v>
      </c>
    </row>
    <row r="1633" ht="25.5" customHeight="1">
      <c r="A1633" s="4" t="s">
        <v>2773</v>
      </c>
      <c r="B1633" s="8"/>
      <c r="C1633" s="6" t="s">
        <v>2774</v>
      </c>
      <c r="D1633" s="7">
        <f>D681+(((D1341-D681)/37)*3)</f>
        <v>2.665513514</v>
      </c>
    </row>
    <row r="1634" ht="25.5" customHeight="1">
      <c r="A1634" s="4" t="s">
        <v>2775</v>
      </c>
      <c r="B1634" s="8"/>
      <c r="C1634" s="6" t="s">
        <v>2776</v>
      </c>
      <c r="D1634" s="12">
        <f>AVERAGE(D1657,D1645)</f>
        <v>6.512787469</v>
      </c>
    </row>
    <row r="1635" ht="25.5" customHeight="1">
      <c r="A1635" s="4" t="s">
        <v>2777</v>
      </c>
      <c r="B1635" s="8"/>
      <c r="C1635" s="6" t="s">
        <v>587</v>
      </c>
      <c r="D1635" s="7">
        <f>D681+(((D1341-D681)/37)*11)</f>
        <v>4.768216216</v>
      </c>
    </row>
    <row r="1636" ht="25.5" customHeight="1">
      <c r="A1636" s="4" t="s">
        <v>2778</v>
      </c>
      <c r="B1636" s="8"/>
      <c r="C1636" s="6" t="s">
        <v>2779</v>
      </c>
      <c r="D1636" s="12">
        <f>D1645</f>
        <v>7.468845209</v>
      </c>
    </row>
    <row r="1637" ht="25.5" customHeight="1">
      <c r="A1637" s="4" t="s">
        <v>2780</v>
      </c>
      <c r="B1637" s="8"/>
      <c r="C1637" s="6" t="s">
        <v>296</v>
      </c>
      <c r="D1637" s="12">
        <f>AVERAGE(D1636,D1618)</f>
        <v>7.946874079</v>
      </c>
    </row>
    <row r="1638" ht="25.5" customHeight="1">
      <c r="A1638" s="4" t="s">
        <v>2781</v>
      </c>
      <c r="B1638" s="8"/>
      <c r="C1638" s="6" t="s">
        <v>2782</v>
      </c>
      <c r="D1638" s="12">
        <f>D1623</f>
        <v>3.979702703</v>
      </c>
    </row>
    <row r="1639" ht="25.5" customHeight="1">
      <c r="A1639" s="4" t="s">
        <v>2783</v>
      </c>
      <c r="B1639" s="8"/>
      <c r="C1639" s="6" t="s">
        <v>2784</v>
      </c>
      <c r="D1639" s="12">
        <f>AVERAGE(D1610,D1645,D1603,D3139,D3125,D3128)</f>
        <v>6.879120188</v>
      </c>
    </row>
    <row r="1640" ht="25.5" customHeight="1">
      <c r="A1640" s="4" t="s">
        <v>2785</v>
      </c>
      <c r="B1640" s="8"/>
      <c r="C1640" s="6" t="s">
        <v>1900</v>
      </c>
      <c r="D1640" s="7">
        <f>D681+(((D1341-D681)/37)*5)</f>
        <v>3.191189189</v>
      </c>
    </row>
    <row r="1641" ht="25.5" customHeight="1">
      <c r="A1641" s="4" t="s">
        <v>2786</v>
      </c>
      <c r="B1641" s="8"/>
      <c r="C1641" s="6" t="s">
        <v>305</v>
      </c>
      <c r="D1641" s="12">
        <f>D1657+(((D1390-D1657)/22)*4)</f>
        <v>9.380960688</v>
      </c>
    </row>
    <row r="1642" ht="25.5" customHeight="1">
      <c r="A1642" s="4" t="s">
        <v>2787</v>
      </c>
      <c r="B1642" s="8"/>
      <c r="C1642" s="6" t="s">
        <v>2788</v>
      </c>
      <c r="D1642" s="12">
        <f>AVERAGE(D1602,D1621,D1633)</f>
        <v>3.284580672</v>
      </c>
    </row>
    <row r="1643" ht="25.5" customHeight="1">
      <c r="A1643" s="4" t="s">
        <v>2789</v>
      </c>
      <c r="B1643" s="8"/>
      <c r="C1643" s="6" t="s">
        <v>1407</v>
      </c>
      <c r="D1643" s="12">
        <f>AVERAGE(D1612,D1656)</f>
        <v>10.8150473</v>
      </c>
    </row>
    <row r="1644" ht="25.5" customHeight="1">
      <c r="A1644" s="4" t="s">
        <v>2790</v>
      </c>
      <c r="B1644" s="8"/>
      <c r="C1644" s="6" t="s">
        <v>2791</v>
      </c>
      <c r="D1644" s="12">
        <f>AVERAGE(D1630,D1643)</f>
        <v>10.33701843</v>
      </c>
    </row>
    <row r="1645" ht="25.5" customHeight="1">
      <c r="A1645" s="4" t="s">
        <v>2792</v>
      </c>
      <c r="B1645" s="8"/>
      <c r="C1645" s="6" t="s">
        <v>2793</v>
      </c>
      <c r="D1645" s="12">
        <f>D1657+(((D1390-D1657)/22)*2)</f>
        <v>7.468845209</v>
      </c>
    </row>
    <row r="1646" ht="25.5" customHeight="1">
      <c r="A1646" s="4" t="s">
        <v>2794</v>
      </c>
      <c r="B1646" s="8"/>
      <c r="C1646" s="6" t="s">
        <v>2795</v>
      </c>
      <c r="D1646" s="12">
        <f>AVERAGE(D693,D1632,D1633)</f>
        <v>2.402675676</v>
      </c>
    </row>
    <row r="1647" ht="25.5" customHeight="1">
      <c r="A1647" s="4" t="s">
        <v>2796</v>
      </c>
      <c r="B1647" s="8"/>
      <c r="C1647" s="6" t="s">
        <v>1723</v>
      </c>
      <c r="D1647" s="12">
        <f>AVERAGE(D1644,D1810)</f>
        <v>11.29307617</v>
      </c>
    </row>
    <row r="1648" ht="25.5" customHeight="1">
      <c r="A1648" s="4" t="s">
        <v>2797</v>
      </c>
      <c r="B1648" s="8"/>
      <c r="C1648" s="6" t="s">
        <v>2798</v>
      </c>
      <c r="D1648" s="7">
        <f>D681+(((D1341-D681)/37)*7)</f>
        <v>3.716864865</v>
      </c>
    </row>
    <row r="1649" ht="25.5" customHeight="1">
      <c r="A1649" s="4" t="s">
        <v>2799</v>
      </c>
      <c r="B1649" s="8"/>
      <c r="C1649" s="6" t="s">
        <v>2800</v>
      </c>
      <c r="D1649" s="7">
        <f>D681+(((D1341-D681)/37)*13)</f>
        <v>5.293891892</v>
      </c>
    </row>
    <row r="1650" ht="25.5" customHeight="1">
      <c r="A1650" s="4" t="s">
        <v>2801</v>
      </c>
      <c r="B1650" s="8"/>
      <c r="C1650" s="6" t="s">
        <v>2802</v>
      </c>
      <c r="D1650" s="7">
        <f>D681+(((D1341-D681)/37)*12)</f>
        <v>5.031054054</v>
      </c>
    </row>
    <row r="1651" ht="25.5" customHeight="1">
      <c r="A1651" s="4" t="s">
        <v>2803</v>
      </c>
      <c r="B1651" s="8"/>
      <c r="C1651" s="6" t="s">
        <v>1283</v>
      </c>
      <c r="D1651" s="12">
        <f>D1623</f>
        <v>3.979702703</v>
      </c>
    </row>
    <row r="1652" ht="25.5" customHeight="1">
      <c r="A1652" s="4" t="s">
        <v>2804</v>
      </c>
      <c r="B1652" s="8"/>
      <c r="C1652" s="6" t="s">
        <v>2805</v>
      </c>
      <c r="D1652" s="12">
        <f>D1623</f>
        <v>3.979702703</v>
      </c>
    </row>
    <row r="1653" ht="25.5" customHeight="1">
      <c r="A1653" s="4" t="s">
        <v>2806</v>
      </c>
      <c r="B1653" s="8"/>
      <c r="C1653" s="6" t="s">
        <v>2807</v>
      </c>
      <c r="D1653" s="12">
        <f>D1657+(((D1390-D1657)/22)*1)</f>
        <v>6.512787469</v>
      </c>
    </row>
    <row r="1654" ht="25.5" customHeight="1">
      <c r="A1654" s="4" t="s">
        <v>2808</v>
      </c>
      <c r="B1654" s="8"/>
      <c r="C1654" s="6" t="s">
        <v>1287</v>
      </c>
      <c r="D1654" s="12">
        <f>AVERAGE(D1618,D1630)</f>
        <v>9.141946253</v>
      </c>
    </row>
    <row r="1655" ht="25.5" customHeight="1">
      <c r="A1655" s="4" t="s">
        <v>2809</v>
      </c>
      <c r="B1655" s="8"/>
      <c r="C1655" s="6" t="s">
        <v>2810</v>
      </c>
      <c r="D1655" s="12">
        <f>D1650</f>
        <v>5.031054054</v>
      </c>
    </row>
    <row r="1656" ht="25.5" customHeight="1">
      <c r="A1656" s="4" t="s">
        <v>2811</v>
      </c>
      <c r="B1656" s="8"/>
      <c r="C1656" s="6" t="s">
        <v>2812</v>
      </c>
      <c r="D1656" s="12">
        <f>D1657+(((D1390-D1657)/22)*6)</f>
        <v>11.29307617</v>
      </c>
    </row>
    <row r="1657" ht="25.5" customHeight="1">
      <c r="A1657" s="4" t="s">
        <v>2813</v>
      </c>
      <c r="B1657" s="11"/>
      <c r="C1657" s="6" t="s">
        <v>2814</v>
      </c>
      <c r="D1657" s="7">
        <f>D681+(((D1341-D681)/37)*14)</f>
        <v>5.55672973</v>
      </c>
    </row>
    <row r="1658" ht="25.5" customHeight="1">
      <c r="A1658" s="4" t="s">
        <v>2815</v>
      </c>
      <c r="B1658" s="5" t="s">
        <v>2816</v>
      </c>
      <c r="C1658" s="6" t="s">
        <v>2817</v>
      </c>
      <c r="D1658" s="12">
        <f>D2903+(((D434-D2903)/29)*9)</f>
        <v>4.177241379</v>
      </c>
    </row>
    <row r="1659" ht="25.5" customHeight="1">
      <c r="A1659" s="4" t="s">
        <v>2818</v>
      </c>
      <c r="B1659" s="8"/>
      <c r="C1659" s="6" t="s">
        <v>1292</v>
      </c>
      <c r="D1659" s="12">
        <f>AVERAGE(D1675,D1706)</f>
        <v>7.656290762</v>
      </c>
    </row>
    <row r="1660" ht="25.5" customHeight="1">
      <c r="A1660" s="4" t="s">
        <v>2819</v>
      </c>
      <c r="B1660" s="8"/>
      <c r="C1660" s="6" t="s">
        <v>2820</v>
      </c>
      <c r="D1660" s="12">
        <f>D1743</f>
        <v>9.265057471</v>
      </c>
    </row>
    <row r="1661" ht="25.5" customHeight="1">
      <c r="A1661" s="4" t="s">
        <v>2821</v>
      </c>
      <c r="B1661" s="8"/>
      <c r="C1661" s="6" t="s">
        <v>2822</v>
      </c>
      <c r="D1661" s="12">
        <f>AVERAGE(D1734,D1741,D1747,D2332)</f>
        <v>7.857082747</v>
      </c>
    </row>
    <row r="1662" ht="25.5" customHeight="1">
      <c r="A1662" s="4" t="s">
        <v>2823</v>
      </c>
      <c r="B1662" s="8"/>
      <c r="C1662" s="6" t="s">
        <v>2824</v>
      </c>
      <c r="D1662" s="12">
        <f>AVERAGE(D1754,D1660,D2861,D2477)</f>
        <v>9.362070552</v>
      </c>
    </row>
    <row r="1663" ht="25.5" customHeight="1">
      <c r="A1663" s="4" t="s">
        <v>2825</v>
      </c>
      <c r="B1663" s="8"/>
      <c r="C1663" s="6" t="s">
        <v>2826</v>
      </c>
      <c r="D1663" s="12">
        <f>AVERAGE(D1716,D1669)</f>
        <v>7.362526607</v>
      </c>
    </row>
    <row r="1664" ht="25.5" customHeight="1">
      <c r="A1664" s="4" t="s">
        <v>2827</v>
      </c>
      <c r="B1664" s="8"/>
      <c r="C1664" s="6" t="s">
        <v>2828</v>
      </c>
      <c r="D1664" s="12">
        <f>AVERAGE(D1726,D1682,D1731)</f>
        <v>0.3201190476</v>
      </c>
    </row>
    <row r="1665" ht="25.5" customHeight="1">
      <c r="A1665" s="4" t="s">
        <v>2829</v>
      </c>
      <c r="B1665" s="8"/>
      <c r="C1665" s="6" t="s">
        <v>2830</v>
      </c>
      <c r="D1665" s="12">
        <f>AVERAGE(D1715,D1699,D1723,D1703)</f>
        <v>0.02000744048</v>
      </c>
    </row>
    <row r="1666" ht="25.5" customHeight="1">
      <c r="A1666" s="4" t="s">
        <v>2831</v>
      </c>
      <c r="B1666" s="8"/>
      <c r="C1666" s="6" t="s">
        <v>2832</v>
      </c>
      <c r="D1666" s="12">
        <f>AVERAGE(D1735,D1683,D1739,D1728)</f>
        <v>4.321607143</v>
      </c>
    </row>
    <row r="1667" ht="25.5" customHeight="1">
      <c r="A1667" s="4" t="s">
        <v>2833</v>
      </c>
      <c r="B1667" s="8"/>
      <c r="C1667" s="6" t="s">
        <v>2834</v>
      </c>
      <c r="D1667" s="12">
        <f>D1735</f>
        <v>7.682857143</v>
      </c>
    </row>
    <row r="1668" ht="25.5" customHeight="1">
      <c r="A1668" s="4" t="s">
        <v>2835</v>
      </c>
      <c r="B1668" s="8"/>
      <c r="C1668" s="6" t="s">
        <v>2836</v>
      </c>
      <c r="D1668" s="12">
        <f>D2478+(((D1706-D2478)/9)*5)</f>
        <v>7.142203491</v>
      </c>
    </row>
    <row r="1669" ht="25.5" customHeight="1">
      <c r="A1669" s="4" t="s">
        <v>2837</v>
      </c>
      <c r="B1669" s="8"/>
      <c r="C1669" s="6" t="s">
        <v>799</v>
      </c>
      <c r="D1669" s="12">
        <f>D2478+(((D1706-D2478)/9)*7)</f>
        <v>7.435967646</v>
      </c>
    </row>
    <row r="1670" ht="25.5" customHeight="1">
      <c r="A1670" s="4" t="s">
        <v>2838</v>
      </c>
      <c r="B1670" s="8"/>
      <c r="C1670" s="6" t="s">
        <v>2839</v>
      </c>
      <c r="D1670" s="12">
        <f>D2903+(((D434-D2903)/29)*14)</f>
        <v>6.497931034</v>
      </c>
    </row>
    <row r="1671" ht="25.5" customHeight="1">
      <c r="A1671" s="4" t="s">
        <v>2840</v>
      </c>
      <c r="B1671" s="8"/>
      <c r="C1671" s="6" t="s">
        <v>1781</v>
      </c>
      <c r="D1671" s="12">
        <f>AVERAGE(D1669,D1675)</f>
        <v>7.509408685</v>
      </c>
    </row>
    <row r="1672" ht="25.5" customHeight="1">
      <c r="A1672" s="4" t="s">
        <v>2841</v>
      </c>
      <c r="B1672" s="8"/>
      <c r="C1672" s="6" t="s">
        <v>804</v>
      </c>
      <c r="D1672" s="12">
        <f>AVERAGE(D1727,D1694,D2834,D2929)</f>
        <v>0.0004168216766</v>
      </c>
    </row>
    <row r="1673" ht="25.5" customHeight="1">
      <c r="A1673" s="4" t="s">
        <v>2842</v>
      </c>
      <c r="B1673" s="8"/>
      <c r="C1673" s="6" t="s">
        <v>2843</v>
      </c>
      <c r="D1673" s="12">
        <f>AVERAGE(D1724,D1709,D1682)</f>
        <v>0.9603571429</v>
      </c>
    </row>
    <row r="1674" ht="25.5" customHeight="1">
      <c r="A1674" s="4" t="s">
        <v>2844</v>
      </c>
      <c r="B1674" s="8"/>
      <c r="C1674" s="6" t="s">
        <v>2845</v>
      </c>
      <c r="D1674" s="12">
        <f>AVERAGE(D1730,D1725,D1658)</f>
        <v>3.713103448</v>
      </c>
    </row>
    <row r="1675" ht="25.5" customHeight="1">
      <c r="A1675" s="4" t="s">
        <v>2846</v>
      </c>
      <c r="B1675" s="8"/>
      <c r="C1675" s="6" t="s">
        <v>2847</v>
      </c>
      <c r="D1675" s="12">
        <f>D2478+(((D1706-D2478)/9)*8)</f>
        <v>7.582849723</v>
      </c>
    </row>
    <row r="1676" ht="25.5" customHeight="1">
      <c r="A1676" s="4" t="s">
        <v>2848</v>
      </c>
      <c r="B1676" s="8"/>
      <c r="C1676" s="6" t="s">
        <v>814</v>
      </c>
      <c r="D1676" s="12">
        <f>AVERAGE(D1733,D1658,D1725,D1689,D1749,D1700)</f>
        <v>3.77851601</v>
      </c>
    </row>
    <row r="1677" ht="25.5" customHeight="1">
      <c r="A1677" s="4" t="s">
        <v>2849</v>
      </c>
      <c r="B1677" s="8"/>
      <c r="C1677" s="6" t="s">
        <v>86</v>
      </c>
      <c r="D1677" s="12">
        <f>D2493</f>
        <v>6.628275862</v>
      </c>
    </row>
    <row r="1678" ht="25.5" customHeight="1">
      <c r="A1678" s="4" t="s">
        <v>2850</v>
      </c>
      <c r="B1678" s="8"/>
      <c r="C1678" s="6" t="s">
        <v>2851</v>
      </c>
      <c r="D1678" s="12">
        <f>AVERAGE(D1694,D1703,D1665)</f>
        <v>0.006669146825</v>
      </c>
    </row>
    <row r="1679" ht="25.5" customHeight="1">
      <c r="A1679" s="4" t="s">
        <v>2852</v>
      </c>
      <c r="B1679" s="8"/>
      <c r="C1679" s="6" t="s">
        <v>94</v>
      </c>
      <c r="D1679" s="12">
        <f>AVERAGE(D1677,D509)</f>
        <v>8.419655172</v>
      </c>
    </row>
    <row r="1680" ht="25.5" customHeight="1">
      <c r="A1680" s="4" t="s">
        <v>2853</v>
      </c>
      <c r="B1680" s="8"/>
      <c r="C1680" s="6" t="s">
        <v>226</v>
      </c>
      <c r="D1680" s="12">
        <f>D2903+(((D434-D2903)/29)*17)</f>
        <v>7.890344828</v>
      </c>
    </row>
    <row r="1681" ht="25.5" customHeight="1">
      <c r="A1681" s="4" t="s">
        <v>2854</v>
      </c>
      <c r="B1681" s="8"/>
      <c r="C1681" s="6" t="s">
        <v>901</v>
      </c>
      <c r="D1681" s="12">
        <f>D1735</f>
        <v>7.682857143</v>
      </c>
    </row>
    <row r="1682" ht="25.5" customHeight="1">
      <c r="A1682" s="4" t="s">
        <v>2855</v>
      </c>
      <c r="B1682" s="8"/>
      <c r="C1682" s="6" t="s">
        <v>2856</v>
      </c>
      <c r="D1682" s="12">
        <f>AVERAGE(D1731,D1711,D1709)</f>
        <v>0.3201190476</v>
      </c>
    </row>
    <row r="1683" ht="25.5" customHeight="1">
      <c r="A1683" s="4" t="s">
        <v>2857</v>
      </c>
      <c r="B1683" s="8"/>
      <c r="C1683" s="6" t="s">
        <v>1315</v>
      </c>
      <c r="D1683" s="12">
        <f>D1755+(((D365-D1755)/28)*3)</f>
        <v>5.762142857</v>
      </c>
    </row>
    <row r="1684" ht="25.5" customHeight="1">
      <c r="A1684" s="4" t="s">
        <v>2858</v>
      </c>
      <c r="B1684" s="8"/>
      <c r="C1684" s="6" t="s">
        <v>2859</v>
      </c>
      <c r="D1684" s="12">
        <f>AVERAGE(D1672,D2834,D2933)</f>
        <v>0.0001389405589</v>
      </c>
    </row>
    <row r="1685" ht="25.5" customHeight="1">
      <c r="A1685" s="4" t="s">
        <v>2860</v>
      </c>
      <c r="B1685" s="8"/>
      <c r="C1685" s="6" t="s">
        <v>2861</v>
      </c>
      <c r="D1685" s="12">
        <f>AVERAGE(D1705,D1746)</f>
        <v>0.2075771949</v>
      </c>
    </row>
    <row r="1686" ht="25.5" customHeight="1">
      <c r="A1686" s="4" t="s">
        <v>2862</v>
      </c>
      <c r="B1686" s="8"/>
      <c r="C1686" s="6" t="s">
        <v>2863</v>
      </c>
      <c r="D1686" s="12">
        <f>D2903+(((D434-D2903)/29)*12)</f>
        <v>5.569655172</v>
      </c>
    </row>
    <row r="1687" ht="25.5" customHeight="1">
      <c r="A1687" s="4" t="s">
        <v>2864</v>
      </c>
      <c r="B1687" s="8"/>
      <c r="C1687" s="6" t="s">
        <v>2865</v>
      </c>
      <c r="D1687" s="12">
        <f>AVERAGE(D1691,D1706)</f>
        <v>3.8648659</v>
      </c>
    </row>
    <row r="1688" ht="25.5" customHeight="1">
      <c r="A1688" s="4" t="s">
        <v>2866</v>
      </c>
      <c r="B1688" s="8"/>
      <c r="C1688" s="6" t="s">
        <v>2867</v>
      </c>
      <c r="D1688" s="12">
        <f>D1708</f>
        <v>1.920714286</v>
      </c>
    </row>
    <row r="1689" ht="25.5" customHeight="1">
      <c r="A1689" s="4" t="s">
        <v>2868</v>
      </c>
      <c r="B1689" s="8"/>
      <c r="C1689" s="6" t="s">
        <v>2869</v>
      </c>
      <c r="D1689" s="12">
        <f>D2903+(((D434-D2903)/29)*7)</f>
        <v>3.248965517</v>
      </c>
    </row>
    <row r="1690" ht="25.5" customHeight="1">
      <c r="A1690" s="4" t="s">
        <v>2870</v>
      </c>
      <c r="B1690" s="8"/>
      <c r="C1690" s="6" t="s">
        <v>2871</v>
      </c>
      <c r="D1690" s="12">
        <f>AVERAGE(D1699,D1721,D1755)</f>
        <v>0</v>
      </c>
    </row>
    <row r="1691" ht="25.5" customHeight="1">
      <c r="A1691" s="4" t="s">
        <v>2872</v>
      </c>
      <c r="B1691" s="8"/>
      <c r="C1691" s="9" t="s">
        <v>874</v>
      </c>
      <c r="D1691" s="12">
        <v>0.0</v>
      </c>
      <c r="E1691" s="10" t="s">
        <v>2873</v>
      </c>
    </row>
    <row r="1692" ht="25.5" customHeight="1">
      <c r="A1692" s="4" t="s">
        <v>2874</v>
      </c>
      <c r="B1692" s="8"/>
      <c r="C1692" s="6" t="s">
        <v>126</v>
      </c>
      <c r="D1692" s="12">
        <f>AVERAGE(D1749,D1696,D1748,D1750,D1721)</f>
        <v>1.909381773</v>
      </c>
    </row>
    <row r="1693" ht="25.5" customHeight="1">
      <c r="A1693" s="4" t="s">
        <v>2875</v>
      </c>
      <c r="B1693" s="8"/>
      <c r="C1693" s="6" t="s">
        <v>2876</v>
      </c>
      <c r="D1693" s="12">
        <f>D2903+(((D434-D2903)/29)*16)</f>
        <v>7.426206897</v>
      </c>
    </row>
    <row r="1694" ht="25.5" customHeight="1">
      <c r="A1694" s="4" t="s">
        <v>2877</v>
      </c>
      <c r="B1694" s="8"/>
      <c r="C1694" s="6" t="s">
        <v>2878</v>
      </c>
      <c r="D1694" s="12">
        <f>AVERAGE(D1703,D2929)</f>
        <v>0</v>
      </c>
    </row>
    <row r="1695" ht="25.5" customHeight="1">
      <c r="A1695" s="4" t="s">
        <v>2879</v>
      </c>
      <c r="B1695" s="8"/>
      <c r="C1695" s="6" t="s">
        <v>346</v>
      </c>
      <c r="D1695" s="12">
        <f>D2493</f>
        <v>6.628275862</v>
      </c>
    </row>
    <row r="1696" ht="25.5" customHeight="1">
      <c r="A1696" s="4" t="s">
        <v>2880</v>
      </c>
      <c r="B1696" s="8"/>
      <c r="C1696" s="6" t="s">
        <v>2881</v>
      </c>
      <c r="D1696" s="12">
        <f>D2903+(((D434-D2903)/29)*6)</f>
        <v>2.784827586</v>
      </c>
    </row>
    <row r="1697" ht="25.5" customHeight="1">
      <c r="A1697" s="4" t="s">
        <v>2882</v>
      </c>
      <c r="B1697" s="8"/>
      <c r="C1697" s="6" t="s">
        <v>130</v>
      </c>
      <c r="D1697" s="12">
        <f>AVERAGE(D1755,D1753,D1711)</f>
        <v>0</v>
      </c>
    </row>
    <row r="1698" ht="25.5" customHeight="1">
      <c r="A1698" s="4" t="s">
        <v>2883</v>
      </c>
      <c r="B1698" s="8"/>
      <c r="C1698" s="6" t="s">
        <v>2884</v>
      </c>
      <c r="D1698" s="12">
        <f>D2903+(((D434-D2903)/29)*10)</f>
        <v>4.64137931</v>
      </c>
    </row>
    <row r="1699" ht="25.5" customHeight="1">
      <c r="A1699" s="4" t="s">
        <v>2885</v>
      </c>
      <c r="B1699" s="8"/>
      <c r="C1699" s="6" t="s">
        <v>2886</v>
      </c>
      <c r="D1699" s="12">
        <f>D2927+(((D1755-D2927)/13)*11)</f>
        <v>0</v>
      </c>
    </row>
    <row r="1700" ht="25.5" customHeight="1">
      <c r="A1700" s="4" t="s">
        <v>2887</v>
      </c>
      <c r="B1700" s="8"/>
      <c r="C1700" s="6" t="s">
        <v>2888</v>
      </c>
      <c r="D1700" s="12">
        <f>D1755+(((D365-D1755)/28)*2)</f>
        <v>3.841428571</v>
      </c>
    </row>
    <row r="1701" ht="25.5" customHeight="1">
      <c r="A1701" s="4" t="s">
        <v>2889</v>
      </c>
      <c r="B1701" s="8"/>
      <c r="C1701" s="6" t="s">
        <v>2890</v>
      </c>
      <c r="D1701" s="12">
        <f>D2478+(((D1706-D2478)/9)*4)</f>
        <v>6.995321413</v>
      </c>
    </row>
    <row r="1702" ht="25.5" customHeight="1">
      <c r="A1702" s="4" t="s">
        <v>2891</v>
      </c>
      <c r="B1702" s="8"/>
      <c r="C1702" s="6" t="s">
        <v>1343</v>
      </c>
      <c r="D1702" s="12">
        <f>D1668+(((D2361-D1668)/3)*1)</f>
        <v>7.701009224</v>
      </c>
    </row>
    <row r="1703" ht="25.5" customHeight="1">
      <c r="A1703" s="4" t="s">
        <v>2892</v>
      </c>
      <c r="B1703" s="8"/>
      <c r="C1703" s="6" t="s">
        <v>2893</v>
      </c>
      <c r="D1703" s="12">
        <f>AVERAGE(D2925,D1723)</f>
        <v>0</v>
      </c>
    </row>
    <row r="1704" ht="25.5" customHeight="1">
      <c r="A1704" s="4" t="s">
        <v>2894</v>
      </c>
      <c r="B1704" s="8"/>
      <c r="C1704" s="6" t="s">
        <v>2895</v>
      </c>
      <c r="D1704" s="12">
        <f>AVERAGE(D1683,D1735,D1740)</f>
        <v>7.042619048</v>
      </c>
    </row>
    <row r="1705" ht="25.5" customHeight="1">
      <c r="A1705" s="4" t="s">
        <v>2896</v>
      </c>
      <c r="B1705" s="8"/>
      <c r="C1705" s="6" t="s">
        <v>2897</v>
      </c>
      <c r="D1705" s="12">
        <f>AVERAGE(D1664,D1751)</f>
        <v>0.2300855655</v>
      </c>
    </row>
    <row r="1706" ht="25.5" customHeight="1">
      <c r="A1706" s="4" t="s">
        <v>2898</v>
      </c>
      <c r="B1706" s="8"/>
      <c r="C1706" s="6" t="s">
        <v>2899</v>
      </c>
      <c r="D1706" s="12">
        <f>D2123+(((D1717-D2123)/18)*17)</f>
        <v>7.729731801</v>
      </c>
    </row>
    <row r="1707" ht="25.5" customHeight="1">
      <c r="A1707" s="4" t="s">
        <v>2900</v>
      </c>
      <c r="B1707" s="8"/>
      <c r="C1707" s="6" t="s">
        <v>138</v>
      </c>
      <c r="D1707" s="12">
        <f>AVERAGE(D1701,D2356)</f>
        <v>8.603177948</v>
      </c>
    </row>
    <row r="1708" ht="25.5" customHeight="1">
      <c r="A1708" s="4" t="s">
        <v>2901</v>
      </c>
      <c r="B1708" s="8"/>
      <c r="C1708" s="6" t="s">
        <v>2902</v>
      </c>
      <c r="D1708" s="12">
        <f>D1755+(((D365-D1755)/28)*1)</f>
        <v>1.920714286</v>
      </c>
    </row>
    <row r="1709" ht="25.5" customHeight="1">
      <c r="A1709" s="4" t="s">
        <v>2903</v>
      </c>
      <c r="B1709" s="8"/>
      <c r="C1709" s="6" t="s">
        <v>920</v>
      </c>
      <c r="D1709" s="12">
        <f>AVERAGE(D1711,D1688)</f>
        <v>0.9603571429</v>
      </c>
    </row>
    <row r="1710" ht="25.5" customHeight="1">
      <c r="A1710" s="4" t="s">
        <v>2904</v>
      </c>
      <c r="B1710" s="8"/>
      <c r="C1710" s="6" t="s">
        <v>149</v>
      </c>
      <c r="D1710" s="12">
        <f>D1700</f>
        <v>3.841428571</v>
      </c>
    </row>
    <row r="1711" ht="25.5" customHeight="1">
      <c r="A1711" s="4" t="s">
        <v>2905</v>
      </c>
      <c r="B1711" s="8"/>
      <c r="C1711" s="9" t="s">
        <v>2906</v>
      </c>
      <c r="D1711" s="12">
        <v>0.0</v>
      </c>
      <c r="E1711" s="10" t="s">
        <v>2907</v>
      </c>
    </row>
    <row r="1712" ht="25.5" customHeight="1">
      <c r="A1712" s="4" t="s">
        <v>2908</v>
      </c>
      <c r="B1712" s="8"/>
      <c r="C1712" s="6" t="s">
        <v>273</v>
      </c>
      <c r="D1712" s="12">
        <f>AVERAGE(D1675,D1680,D1693,D1717,D1706)</f>
        <v>7.518240443</v>
      </c>
    </row>
    <row r="1713" ht="25.5" customHeight="1">
      <c r="A1713" s="4" t="s">
        <v>2909</v>
      </c>
      <c r="B1713" s="8"/>
      <c r="C1713" s="6" t="s">
        <v>155</v>
      </c>
      <c r="D1713" s="12">
        <f>AVERAGE(D1677,D1744,D1707,D509)</f>
        <v>8.054371648</v>
      </c>
    </row>
    <row r="1714" ht="25.5" customHeight="1">
      <c r="A1714" s="4" t="s">
        <v>2910</v>
      </c>
      <c r="B1714" s="8"/>
      <c r="C1714" s="6" t="s">
        <v>157</v>
      </c>
      <c r="D1714" s="12">
        <f>D2521+(((D1668-D2521)/3)*2)</f>
        <v>7.580867968</v>
      </c>
    </row>
    <row r="1715" ht="25.5" customHeight="1">
      <c r="A1715" s="4" t="s">
        <v>2911</v>
      </c>
      <c r="B1715" s="8"/>
      <c r="C1715" s="6" t="s">
        <v>720</v>
      </c>
      <c r="D1715" s="12">
        <f>AVERAGE(D1664,D1731,D1690,D1699)</f>
        <v>0.0800297619</v>
      </c>
    </row>
    <row r="1716" ht="25.5" customHeight="1">
      <c r="A1716" s="4" t="s">
        <v>2912</v>
      </c>
      <c r="B1716" s="8"/>
      <c r="C1716" s="6" t="s">
        <v>2913</v>
      </c>
      <c r="D1716" s="12">
        <f>D2478+(((D1706-D2478)/9)*6)</f>
        <v>7.289085568</v>
      </c>
    </row>
    <row r="1717" ht="25.5" customHeight="1">
      <c r="A1717" s="4" t="s">
        <v>2914</v>
      </c>
      <c r="B1717" s="8"/>
      <c r="C1717" s="6" t="s">
        <v>2915</v>
      </c>
      <c r="D1717" s="12">
        <f>D2903+(((D434-D2903)/29)*15)</f>
        <v>6.962068966</v>
      </c>
    </row>
    <row r="1718" ht="25.5" customHeight="1">
      <c r="A1718" s="4" t="s">
        <v>2916</v>
      </c>
      <c r="B1718" s="8"/>
      <c r="C1718" s="6" t="s">
        <v>945</v>
      </c>
      <c r="D1718" s="12">
        <f>AVERAGE(D1716,D2517)</f>
        <v>7.654309007</v>
      </c>
    </row>
    <row r="1719" ht="25.5" customHeight="1">
      <c r="A1719" s="4" t="s">
        <v>2917</v>
      </c>
      <c r="B1719" s="8"/>
      <c r="C1719" s="6" t="s">
        <v>169</v>
      </c>
      <c r="D1719" s="12">
        <f>D1733</f>
        <v>5.105517241</v>
      </c>
    </row>
    <row r="1720" ht="25.5" customHeight="1">
      <c r="A1720" s="4" t="s">
        <v>2918</v>
      </c>
      <c r="B1720" s="8"/>
      <c r="C1720" s="6" t="s">
        <v>2919</v>
      </c>
      <c r="D1720" s="12">
        <f>AVERAGE(D1733,D1719,D1700)</f>
        <v>4.684154351</v>
      </c>
    </row>
    <row r="1721" ht="25.5" customHeight="1">
      <c r="A1721" s="4" t="s">
        <v>2920</v>
      </c>
      <c r="B1721" s="8"/>
      <c r="C1721" s="6" t="s">
        <v>2921</v>
      </c>
      <c r="D1721" s="12">
        <f>D2927+(((D1755-D2927)/13)*12)</f>
        <v>0</v>
      </c>
    </row>
    <row r="1722" ht="25.5" customHeight="1">
      <c r="A1722" s="4" t="s">
        <v>2922</v>
      </c>
      <c r="B1722" s="8"/>
      <c r="C1722" s="6" t="s">
        <v>2923</v>
      </c>
      <c r="D1722" s="12">
        <f>D1708</f>
        <v>1.920714286</v>
      </c>
    </row>
    <row r="1723" ht="25.5" customHeight="1">
      <c r="A1723" s="4" t="s">
        <v>2924</v>
      </c>
      <c r="B1723" s="8"/>
      <c r="C1723" s="6" t="s">
        <v>2925</v>
      </c>
      <c r="D1723" s="12">
        <f>D2927+(((D1755-D2927)/13)*10)</f>
        <v>0</v>
      </c>
    </row>
    <row r="1724" ht="25.5" customHeight="1">
      <c r="A1724" s="4" t="s">
        <v>2926</v>
      </c>
      <c r="B1724" s="8"/>
      <c r="C1724" s="6" t="s">
        <v>2927</v>
      </c>
      <c r="D1724" s="12">
        <f>AVERAGE(D1728,D1688,D1709)</f>
        <v>1.600595238</v>
      </c>
    </row>
    <row r="1725" ht="25.5" customHeight="1">
      <c r="A1725" s="4" t="s">
        <v>2928</v>
      </c>
      <c r="B1725" s="8"/>
      <c r="C1725" s="6" t="s">
        <v>430</v>
      </c>
      <c r="D1725" s="12">
        <f>D2903+(((D434-D2903)/29)*8)</f>
        <v>3.713103448</v>
      </c>
    </row>
    <row r="1726" ht="25.5" customHeight="1">
      <c r="A1726" s="4" t="s">
        <v>2929</v>
      </c>
      <c r="B1726" s="8"/>
      <c r="C1726" s="6" t="s">
        <v>2930</v>
      </c>
      <c r="D1726" s="12">
        <f>AVERAGE(D1673,D1682)</f>
        <v>0.6402380952</v>
      </c>
    </row>
    <row r="1727" ht="25.5" customHeight="1">
      <c r="A1727" s="4" t="s">
        <v>2931</v>
      </c>
      <c r="B1727" s="8"/>
      <c r="C1727" s="6" t="s">
        <v>2932</v>
      </c>
      <c r="D1727" s="12">
        <f>AVERAGE(D1729,D1694)</f>
        <v>0.001667286706</v>
      </c>
    </row>
    <row r="1728" ht="25.5" customHeight="1">
      <c r="A1728" s="4" t="s">
        <v>2933</v>
      </c>
      <c r="B1728" s="8"/>
      <c r="C1728" s="6" t="s">
        <v>2934</v>
      </c>
      <c r="D1728" s="12">
        <f>D1708</f>
        <v>1.920714286</v>
      </c>
    </row>
    <row r="1729" ht="25.5" customHeight="1">
      <c r="A1729" s="4" t="s">
        <v>2935</v>
      </c>
      <c r="B1729" s="8"/>
      <c r="C1729" s="6" t="s">
        <v>2936</v>
      </c>
      <c r="D1729" s="12">
        <f>AVERAGE(D1694,D1678)</f>
        <v>0.003334573413</v>
      </c>
    </row>
    <row r="1730" ht="25.5" customHeight="1">
      <c r="A1730" s="4" t="s">
        <v>2937</v>
      </c>
      <c r="B1730" s="8"/>
      <c r="C1730" s="6" t="s">
        <v>2938</v>
      </c>
      <c r="D1730" s="12">
        <f>AVERAGE(D1696,D1689,D1725)</f>
        <v>3.248965517</v>
      </c>
    </row>
    <row r="1731" ht="25.5" customHeight="1">
      <c r="A1731" s="4" t="s">
        <v>2939</v>
      </c>
      <c r="B1731" s="8"/>
      <c r="C1731" s="6" t="s">
        <v>2940</v>
      </c>
      <c r="D1731" s="12">
        <f>AVERAGE(D1690,D1755,D1697,D1711)</f>
        <v>0</v>
      </c>
    </row>
    <row r="1732" ht="25.5" customHeight="1">
      <c r="A1732" s="4" t="s">
        <v>2941</v>
      </c>
      <c r="B1732" s="8"/>
      <c r="C1732" s="6" t="s">
        <v>301</v>
      </c>
      <c r="D1732" s="12">
        <f>D1668+(((D2361-D1668)/3)*2)</f>
        <v>8.259814957</v>
      </c>
    </row>
    <row r="1733" ht="25.5" customHeight="1">
      <c r="A1733" s="4" t="s">
        <v>2942</v>
      </c>
      <c r="B1733" s="8"/>
      <c r="C1733" s="6" t="s">
        <v>179</v>
      </c>
      <c r="D1733" s="12">
        <f>D2903+(((D434-D2903)/29)*11)</f>
        <v>5.105517241</v>
      </c>
    </row>
    <row r="1734" ht="25.5" customHeight="1">
      <c r="A1734" s="4" t="s">
        <v>2943</v>
      </c>
      <c r="B1734" s="8"/>
      <c r="C1734" s="6" t="s">
        <v>975</v>
      </c>
      <c r="D1734" s="12">
        <f>AVERAGE(D1719,D1740)</f>
        <v>6.394187192</v>
      </c>
    </row>
    <row r="1735" ht="25.5" customHeight="1">
      <c r="A1735" s="4" t="s">
        <v>2944</v>
      </c>
      <c r="B1735" s="8"/>
      <c r="C1735" s="6" t="s">
        <v>2945</v>
      </c>
      <c r="D1735" s="12">
        <f>D1755+(((D365-D1755)/28)*4)</f>
        <v>7.682857143</v>
      </c>
    </row>
    <row r="1736" ht="25.5" customHeight="1">
      <c r="A1736" s="4" t="s">
        <v>2946</v>
      </c>
      <c r="B1736" s="8"/>
      <c r="C1736" s="6" t="s">
        <v>2947</v>
      </c>
      <c r="D1736" s="12">
        <f>AVERAGE(D1674,D1698,D1742)</f>
        <v>4.201060026</v>
      </c>
    </row>
    <row r="1737" ht="25.5" customHeight="1">
      <c r="A1737" s="4" t="s">
        <v>2948</v>
      </c>
      <c r="B1737" s="8"/>
      <c r="C1737" s="6" t="s">
        <v>1907</v>
      </c>
      <c r="D1737" s="12">
        <f>D2903+(((D434-D2903)/29)*13)</f>
        <v>6.033793103</v>
      </c>
    </row>
    <row r="1738" ht="25.5" customHeight="1">
      <c r="A1738" s="4" t="s">
        <v>2949</v>
      </c>
      <c r="B1738" s="8"/>
      <c r="C1738" s="6" t="s">
        <v>2950</v>
      </c>
      <c r="D1738" s="12">
        <f>AVERAGE(D1732,D1702,D1668,D1716,D1669,D1680,D2330,D2361)</f>
        <v>7.861441145</v>
      </c>
    </row>
    <row r="1739" ht="25.5" customHeight="1">
      <c r="A1739" s="4" t="s">
        <v>2951</v>
      </c>
      <c r="B1739" s="8"/>
      <c r="C1739" s="6" t="s">
        <v>2952</v>
      </c>
      <c r="D1739" s="12">
        <f>D1708</f>
        <v>1.920714286</v>
      </c>
    </row>
    <row r="1740" ht="25.5" customHeight="1">
      <c r="A1740" s="4" t="s">
        <v>2953</v>
      </c>
      <c r="B1740" s="8"/>
      <c r="C1740" s="6" t="s">
        <v>2577</v>
      </c>
      <c r="D1740" s="12">
        <f>D1735</f>
        <v>7.682857143</v>
      </c>
    </row>
    <row r="1741" ht="25.5" customHeight="1">
      <c r="A1741" s="4" t="s">
        <v>2954</v>
      </c>
      <c r="B1741" s="8"/>
      <c r="C1741" s="6" t="s">
        <v>2955</v>
      </c>
      <c r="D1741" s="12">
        <f>AVERAGE(D1719,D1737,D1670)</f>
        <v>5.87908046</v>
      </c>
    </row>
    <row r="1742" ht="25.5" customHeight="1">
      <c r="A1742" s="4" t="s">
        <v>2956</v>
      </c>
      <c r="B1742" s="8"/>
      <c r="C1742" s="6" t="s">
        <v>2957</v>
      </c>
      <c r="D1742" s="12">
        <f>AVERAGE(D1691,D1756)</f>
        <v>4.248697318</v>
      </c>
    </row>
    <row r="1743" ht="25.5" customHeight="1">
      <c r="A1743" s="4" t="s">
        <v>2958</v>
      </c>
      <c r="B1743" s="8"/>
      <c r="C1743" s="6" t="s">
        <v>2959</v>
      </c>
      <c r="D1743" s="12">
        <f>D2123+(((D1717-D2123)/18)*15)</f>
        <v>9.265057471</v>
      </c>
    </row>
    <row r="1744" ht="25.5" customHeight="1">
      <c r="A1744" s="4" t="s">
        <v>2960</v>
      </c>
      <c r="B1744" s="8"/>
      <c r="C1744" s="6" t="s">
        <v>2961</v>
      </c>
      <c r="D1744" s="12">
        <f>AVERAGE(D1701,D2509)</f>
        <v>6.774998297</v>
      </c>
    </row>
    <row r="1745" ht="25.5" customHeight="1">
      <c r="A1745" s="4" t="s">
        <v>2962</v>
      </c>
      <c r="B1745" s="8"/>
      <c r="C1745" s="6" t="s">
        <v>2963</v>
      </c>
      <c r="D1745" s="12">
        <f>AVERAGE(D1701,D1702,D2342,D2356)</f>
        <v>8.547530935</v>
      </c>
    </row>
    <row r="1746" ht="25.5" customHeight="1">
      <c r="A1746" s="4" t="s">
        <v>2964</v>
      </c>
      <c r="B1746" s="8"/>
      <c r="C1746" s="6" t="s">
        <v>2965</v>
      </c>
      <c r="D1746" s="12">
        <f>AVERAGE(D1705,D1751)</f>
        <v>0.1850688244</v>
      </c>
    </row>
    <row r="1747" ht="25.5" customHeight="1">
      <c r="A1747" s="4" t="s">
        <v>2966</v>
      </c>
      <c r="B1747" s="8"/>
      <c r="C1747" s="6" t="s">
        <v>326</v>
      </c>
      <c r="D1747" s="12">
        <f>D1717</f>
        <v>6.962068966</v>
      </c>
    </row>
    <row r="1748" ht="25.5" customHeight="1">
      <c r="A1748" s="4" t="s">
        <v>2967</v>
      </c>
      <c r="B1748" s="8"/>
      <c r="C1748" s="6" t="s">
        <v>2968</v>
      </c>
      <c r="D1748" s="12">
        <f>D2903+(((D434-D2903)/29)*5)</f>
        <v>2.320689655</v>
      </c>
    </row>
    <row r="1749" ht="25.5" customHeight="1">
      <c r="A1749" s="4" t="s">
        <v>2969</v>
      </c>
      <c r="B1749" s="8"/>
      <c r="C1749" s="6" t="s">
        <v>2970</v>
      </c>
      <c r="D1749" s="12">
        <f>D1689+(((D1708-D1689)/2)*1)</f>
        <v>2.584839901</v>
      </c>
    </row>
    <row r="1750" ht="25.5" customHeight="1">
      <c r="A1750" s="4" t="s">
        <v>2971</v>
      </c>
      <c r="B1750" s="8"/>
      <c r="C1750" s="6" t="s">
        <v>1025</v>
      </c>
      <c r="D1750" s="12">
        <f>D2903+(((D434-D2903)/29)*4)</f>
        <v>1.856551724</v>
      </c>
    </row>
    <row r="1751" ht="25.5" customHeight="1">
      <c r="A1751" s="4" t="s">
        <v>2972</v>
      </c>
      <c r="B1751" s="8"/>
      <c r="C1751" s="6" t="s">
        <v>197</v>
      </c>
      <c r="D1751" s="12">
        <f>AVERAGE(D1664,D1715,D1665)</f>
        <v>0.1400520833</v>
      </c>
    </row>
    <row r="1752" ht="25.5" customHeight="1">
      <c r="A1752" s="4" t="s">
        <v>2973</v>
      </c>
      <c r="B1752" s="8"/>
      <c r="C1752" s="6" t="s">
        <v>2974</v>
      </c>
      <c r="D1752" s="12">
        <f>AVERAGE(D1754,D1671,D1663,D2477)</f>
        <v>8.176461671</v>
      </c>
    </row>
    <row r="1753" ht="25.5" customHeight="1">
      <c r="A1753" s="4" t="s">
        <v>2975</v>
      </c>
      <c r="B1753" s="8"/>
      <c r="C1753" s="6" t="s">
        <v>1028</v>
      </c>
      <c r="D1753" s="12">
        <f>D1755</f>
        <v>0</v>
      </c>
    </row>
    <row r="1754" ht="25.5" customHeight="1">
      <c r="A1754" s="4" t="s">
        <v>2976</v>
      </c>
      <c r="B1754" s="8"/>
      <c r="C1754" s="6" t="s">
        <v>1038</v>
      </c>
      <c r="D1754" s="12">
        <f>AVERAGE(D1706,D1756,D1743)</f>
        <v>8.497394636</v>
      </c>
    </row>
    <row r="1755" ht="25.5" customHeight="1">
      <c r="A1755" s="4" t="s">
        <v>2977</v>
      </c>
      <c r="B1755" s="8"/>
      <c r="C1755" s="9" t="s">
        <v>1747</v>
      </c>
      <c r="D1755" s="12">
        <v>0.0</v>
      </c>
      <c r="E1755" s="10" t="s">
        <v>1747</v>
      </c>
    </row>
    <row r="1756" ht="25.5" customHeight="1">
      <c r="A1756" s="4" t="s">
        <v>2978</v>
      </c>
      <c r="B1756" s="8"/>
      <c r="C1756" s="6" t="s">
        <v>2979</v>
      </c>
      <c r="D1756" s="12">
        <f>D2123+(((D1717-D2123)/18)*16)</f>
        <v>8.497394636</v>
      </c>
    </row>
    <row r="1757" ht="25.5" customHeight="1">
      <c r="A1757" s="4" t="s">
        <v>2980</v>
      </c>
      <c r="B1757" s="11"/>
      <c r="C1757" s="6" t="s">
        <v>2981</v>
      </c>
      <c r="D1757" s="12">
        <f>AVERAGE(D1716,D1668,D1714,D2517)</f>
        <v>7.507922368</v>
      </c>
    </row>
    <row r="1758" ht="25.5" customHeight="1">
      <c r="A1758" s="4" t="s">
        <v>2982</v>
      </c>
      <c r="B1758" s="5" t="s">
        <v>2983</v>
      </c>
      <c r="C1758" s="6" t="s">
        <v>499</v>
      </c>
      <c r="D1758" s="12">
        <f>AVERAGE(D1801,D1778,D1776,D1800,D2418)</f>
        <v>12.9039242</v>
      </c>
    </row>
    <row r="1759" ht="25.5" customHeight="1">
      <c r="A1759" s="4" t="s">
        <v>2984</v>
      </c>
      <c r="B1759" s="8"/>
      <c r="C1759" s="6" t="s">
        <v>2985</v>
      </c>
      <c r="D1759" s="12">
        <f>D1657+(((D1390-D1657)/22)*14)</f>
        <v>18.94153808</v>
      </c>
    </row>
    <row r="1760" ht="25.5" customHeight="1">
      <c r="A1760" s="4" t="s">
        <v>2986</v>
      </c>
      <c r="B1760" s="8"/>
      <c r="C1760" s="6" t="s">
        <v>2987</v>
      </c>
      <c r="D1760" s="12">
        <f>AVERAGE(D1809,D1789,D1793)</f>
        <v>19.10088104</v>
      </c>
    </row>
    <row r="1761" ht="25.5" customHeight="1">
      <c r="A1761" s="4" t="s">
        <v>2988</v>
      </c>
      <c r="B1761" s="8"/>
      <c r="C1761" s="6" t="s">
        <v>2989</v>
      </c>
      <c r="D1761" s="12">
        <f>D1657+(((D1390-D1657)/22)*8)</f>
        <v>13.20519165</v>
      </c>
    </row>
    <row r="1762" ht="25.5" customHeight="1">
      <c r="A1762" s="4" t="s">
        <v>2990</v>
      </c>
      <c r="B1762" s="8"/>
      <c r="C1762" s="6" t="s">
        <v>2991</v>
      </c>
      <c r="D1762" s="12">
        <f>AVERAGE(D1782,D1792)</f>
        <v>16.67090095</v>
      </c>
    </row>
    <row r="1763" ht="25.5" customHeight="1">
      <c r="A1763" s="4" t="s">
        <v>2992</v>
      </c>
      <c r="B1763" s="8"/>
      <c r="C1763" s="6" t="s">
        <v>2993</v>
      </c>
      <c r="D1763" s="12">
        <f>AVERAGE(D1801,D1614)</f>
        <v>11.77110504</v>
      </c>
    </row>
    <row r="1764" ht="25.5" customHeight="1">
      <c r="A1764" s="4" t="s">
        <v>2994</v>
      </c>
      <c r="B1764" s="8"/>
      <c r="C1764" s="6" t="s">
        <v>799</v>
      </c>
      <c r="D1764" s="12">
        <f>AVERAGE(D1810,D1788,D1808)</f>
        <v>14.10813507</v>
      </c>
    </row>
    <row r="1765" ht="25.5" customHeight="1">
      <c r="A1765" s="4" t="s">
        <v>2995</v>
      </c>
      <c r="B1765" s="8"/>
      <c r="C1765" s="6" t="s">
        <v>2996</v>
      </c>
      <c r="D1765" s="12">
        <f>D1657+(((D1390-D1657)/22)*11)</f>
        <v>16.07336486</v>
      </c>
    </row>
    <row r="1766" ht="25.5" customHeight="1">
      <c r="A1766" s="4" t="s">
        <v>2997</v>
      </c>
      <c r="B1766" s="8"/>
      <c r="C1766" s="6" t="s">
        <v>1079</v>
      </c>
      <c r="D1766" s="12">
        <f>D1657+(((D1390-D1657)/22)*15)</f>
        <v>19.89759582</v>
      </c>
    </row>
    <row r="1767" ht="25.5" customHeight="1">
      <c r="A1767" s="4" t="s">
        <v>2998</v>
      </c>
      <c r="B1767" s="8"/>
      <c r="C1767" s="6" t="s">
        <v>2999</v>
      </c>
      <c r="D1767" s="12">
        <f>AVERAGE(D1807,D1791)</f>
        <v>19.89759582</v>
      </c>
    </row>
    <row r="1768" ht="25.5" customHeight="1">
      <c r="A1768" s="4" t="s">
        <v>3000</v>
      </c>
      <c r="B1768" s="8"/>
      <c r="C1768" s="6" t="s">
        <v>3001</v>
      </c>
      <c r="D1768" s="12">
        <f>AVERAGE(D1798,D1780)</f>
        <v>18.63207347</v>
      </c>
    </row>
    <row r="1769" ht="25.5" customHeight="1">
      <c r="A1769" s="4" t="s">
        <v>3002</v>
      </c>
      <c r="B1769" s="8"/>
      <c r="C1769" s="6" t="s">
        <v>3003</v>
      </c>
      <c r="D1769" s="12">
        <f>D1810</f>
        <v>12.24913391</v>
      </c>
    </row>
    <row r="1770" ht="25.5" customHeight="1">
      <c r="A1770" s="4" t="s">
        <v>3004</v>
      </c>
      <c r="B1770" s="8"/>
      <c r="C1770" s="6" t="s">
        <v>3005</v>
      </c>
      <c r="D1770" s="12">
        <f>AVERAGE(D1761,D1802)</f>
        <v>13.68322052</v>
      </c>
    </row>
    <row r="1771" ht="25.5" customHeight="1">
      <c r="A1771" s="4" t="s">
        <v>3006</v>
      </c>
      <c r="B1771" s="8"/>
      <c r="C1771" s="6" t="s">
        <v>3007</v>
      </c>
      <c r="D1771" s="12">
        <f>AVERAGE(D1809,D1773,D1777,D1789)</f>
        <v>18.46350921</v>
      </c>
    </row>
    <row r="1772" ht="25.5" customHeight="1">
      <c r="A1772" s="4" t="s">
        <v>3008</v>
      </c>
      <c r="B1772" s="8"/>
      <c r="C1772" s="6" t="s">
        <v>3009</v>
      </c>
      <c r="D1772" s="12">
        <f>AVERAGE(D1779,D1765,D1787)</f>
        <v>16.07336486</v>
      </c>
    </row>
    <row r="1773" ht="25.5" customHeight="1">
      <c r="A1773" s="4" t="s">
        <v>3010</v>
      </c>
      <c r="B1773" s="8"/>
      <c r="C1773" s="6" t="s">
        <v>3011</v>
      </c>
      <c r="D1773" s="12">
        <f>D1804</f>
        <v>17.98548034</v>
      </c>
    </row>
    <row r="1774" ht="25.5" customHeight="1">
      <c r="A1774" s="4" t="s">
        <v>3012</v>
      </c>
      <c r="B1774" s="8"/>
      <c r="C1774" s="6" t="s">
        <v>2754</v>
      </c>
      <c r="D1774" s="12">
        <f>D1657+(((D1390-D1657)/22)*7)</f>
        <v>12.24913391</v>
      </c>
    </row>
    <row r="1775" ht="25.5" customHeight="1">
      <c r="A1775" s="4" t="s">
        <v>3013</v>
      </c>
      <c r="B1775" s="8"/>
      <c r="C1775" s="6" t="s">
        <v>3014</v>
      </c>
      <c r="D1775" s="12">
        <f>D1766</f>
        <v>19.89759582</v>
      </c>
    </row>
    <row r="1776" ht="25.5" customHeight="1">
      <c r="A1776" s="4" t="s">
        <v>3015</v>
      </c>
      <c r="B1776" s="8"/>
      <c r="C1776" s="6" t="s">
        <v>252</v>
      </c>
      <c r="D1776" s="12">
        <f>AVERAGE(D1787,D1802)</f>
        <v>14.63927826</v>
      </c>
    </row>
    <row r="1777" ht="25.5" customHeight="1">
      <c r="A1777" s="4" t="s">
        <v>3016</v>
      </c>
      <c r="B1777" s="8"/>
      <c r="C1777" s="6" t="s">
        <v>3017</v>
      </c>
      <c r="D1777" s="12">
        <f>AVERAGE(D1804,D1759)</f>
        <v>18.46350921</v>
      </c>
    </row>
    <row r="1778" ht="25.5" customHeight="1">
      <c r="A1778" s="4" t="s">
        <v>3018</v>
      </c>
      <c r="B1778" s="8"/>
      <c r="C1778" s="6" t="s">
        <v>3019</v>
      </c>
      <c r="D1778" s="12">
        <f>D1802</f>
        <v>14.16124939</v>
      </c>
    </row>
    <row r="1779" ht="25.5" customHeight="1">
      <c r="A1779" s="4" t="s">
        <v>3020</v>
      </c>
      <c r="B1779" s="8"/>
      <c r="C1779" s="6" t="s">
        <v>3021</v>
      </c>
      <c r="D1779" s="12">
        <f>D1657+(((D1390-D1657)/22)*12)</f>
        <v>17.0294226</v>
      </c>
    </row>
    <row r="1780" ht="25.5" customHeight="1">
      <c r="A1780" s="4" t="s">
        <v>3022</v>
      </c>
      <c r="B1780" s="8"/>
      <c r="C1780" s="6" t="s">
        <v>3023</v>
      </c>
      <c r="D1780" s="12">
        <f>AVERAGE(D1759,D1804)</f>
        <v>18.46350921</v>
      </c>
    </row>
    <row r="1781" ht="25.5" customHeight="1">
      <c r="A1781" s="4" t="s">
        <v>3024</v>
      </c>
      <c r="B1781" s="8"/>
      <c r="C1781" s="6" t="s">
        <v>277</v>
      </c>
      <c r="D1781" s="12">
        <f>AVERAGE(D1804,D1779)</f>
        <v>17.50745147</v>
      </c>
    </row>
    <row r="1782" ht="25.5" customHeight="1">
      <c r="A1782" s="4" t="s">
        <v>3025</v>
      </c>
      <c r="B1782" s="8"/>
      <c r="C1782" s="6" t="s">
        <v>1382</v>
      </c>
      <c r="D1782" s="12">
        <f>AVERAGE(D1785,D1799)</f>
        <v>16.3123793</v>
      </c>
    </row>
    <row r="1783" ht="25.5" customHeight="1">
      <c r="A1783" s="4" t="s">
        <v>3026</v>
      </c>
      <c r="B1783" s="8"/>
      <c r="C1783" s="6" t="s">
        <v>940</v>
      </c>
      <c r="D1783" s="12">
        <f>AVERAGE(D1781,D1772)</f>
        <v>16.79040817</v>
      </c>
    </row>
    <row r="1784" ht="25.5" customHeight="1">
      <c r="A1784" s="4" t="s">
        <v>3027</v>
      </c>
      <c r="B1784" s="8"/>
      <c r="C1784" s="6" t="s">
        <v>3028</v>
      </c>
      <c r="D1784" s="12">
        <f>AVERAGE(D1761,D1774,D1656)</f>
        <v>12.24913391</v>
      </c>
    </row>
    <row r="1785" ht="25.5" customHeight="1">
      <c r="A1785" s="4" t="s">
        <v>3029</v>
      </c>
      <c r="B1785" s="8"/>
      <c r="C1785" s="6" t="s">
        <v>1384</v>
      </c>
      <c r="D1785" s="12">
        <f>D1765</f>
        <v>16.07336486</v>
      </c>
    </row>
    <row r="1786" ht="25.5" customHeight="1">
      <c r="A1786" s="4" t="s">
        <v>3030</v>
      </c>
      <c r="B1786" s="8"/>
      <c r="C1786" s="6" t="s">
        <v>1388</v>
      </c>
      <c r="D1786" s="12">
        <f>AVERAGE(D1802,D1787)</f>
        <v>14.63927826</v>
      </c>
    </row>
    <row r="1787" ht="25.5" customHeight="1">
      <c r="A1787" s="4" t="s">
        <v>3031</v>
      </c>
      <c r="B1787" s="8"/>
      <c r="C1787" s="6" t="s">
        <v>1678</v>
      </c>
      <c r="D1787" s="12">
        <f>D1657+(((D1390-D1657)/22)*10)</f>
        <v>15.11730713</v>
      </c>
    </row>
    <row r="1788" ht="25.5" customHeight="1">
      <c r="A1788" s="4" t="s">
        <v>3032</v>
      </c>
      <c r="B1788" s="8"/>
      <c r="C1788" s="6" t="s">
        <v>3033</v>
      </c>
      <c r="D1788" s="12">
        <f>AVERAGE(D1784,D1770,D1785)</f>
        <v>14.00190643</v>
      </c>
    </row>
    <row r="1789" ht="25.5" customHeight="1">
      <c r="A1789" s="4" t="s">
        <v>3034</v>
      </c>
      <c r="B1789" s="8"/>
      <c r="C1789" s="6" t="s">
        <v>1886</v>
      </c>
      <c r="D1789" s="12">
        <f>AVERAGE(D1775,D1807)</f>
        <v>19.89759582</v>
      </c>
    </row>
    <row r="1790" ht="25.5" customHeight="1">
      <c r="A1790" s="4" t="s">
        <v>3035</v>
      </c>
      <c r="B1790" s="8"/>
      <c r="C1790" s="6" t="s">
        <v>3036</v>
      </c>
      <c r="D1790" s="12">
        <f>AVERAGE(D1787,D1765)</f>
        <v>15.595336</v>
      </c>
    </row>
    <row r="1791" ht="25.5" customHeight="1">
      <c r="A1791" s="4" t="s">
        <v>3037</v>
      </c>
      <c r="B1791" s="8"/>
      <c r="C1791" s="6" t="s">
        <v>3038</v>
      </c>
      <c r="D1791" s="12">
        <f>D1766</f>
        <v>19.89759582</v>
      </c>
    </row>
    <row r="1792" ht="25.5" customHeight="1">
      <c r="A1792" s="4" t="s">
        <v>3039</v>
      </c>
      <c r="B1792" s="8"/>
      <c r="C1792" s="6" t="s">
        <v>964</v>
      </c>
      <c r="D1792" s="12">
        <f>AVERAGE(D1799,D1809)</f>
        <v>17.0294226</v>
      </c>
    </row>
    <row r="1793" ht="25.5" customHeight="1">
      <c r="A1793" s="4" t="s">
        <v>3040</v>
      </c>
      <c r="B1793" s="8"/>
      <c r="C1793" s="6" t="s">
        <v>2404</v>
      </c>
      <c r="D1793" s="12">
        <f>D1807</f>
        <v>19.89759582</v>
      </c>
    </row>
    <row r="1794" ht="25.5" customHeight="1">
      <c r="A1794" s="4" t="s">
        <v>3041</v>
      </c>
      <c r="B1794" s="8"/>
      <c r="C1794" s="6" t="s">
        <v>3042</v>
      </c>
      <c r="D1794" s="12">
        <f>AVERAGE(D1796,D1766,D1759)</f>
        <v>19.21325721</v>
      </c>
    </row>
    <row r="1795" ht="25.5" customHeight="1">
      <c r="A1795" s="4" t="s">
        <v>3043</v>
      </c>
      <c r="B1795" s="8"/>
      <c r="C1795" s="6" t="s">
        <v>2410</v>
      </c>
      <c r="D1795" s="12">
        <f>AVERAGE(D1808,D1782)</f>
        <v>16.19287208</v>
      </c>
    </row>
    <row r="1796" ht="25.5" customHeight="1">
      <c r="A1796" s="4" t="s">
        <v>3044</v>
      </c>
      <c r="B1796" s="8"/>
      <c r="C1796" s="6" t="s">
        <v>1407</v>
      </c>
      <c r="D1796" s="12">
        <f>D1766+(((D2414-D1766)/9)*1)</f>
        <v>18.80063773</v>
      </c>
    </row>
    <row r="1797" ht="25.5" customHeight="1">
      <c r="A1797" s="4" t="s">
        <v>3045</v>
      </c>
      <c r="B1797" s="8"/>
      <c r="C1797" s="6" t="s">
        <v>3046</v>
      </c>
      <c r="D1797" s="12">
        <f>AVERAGE(D1792,D1805)</f>
        <v>18.46350921</v>
      </c>
    </row>
    <row r="1798" ht="25.5" customHeight="1">
      <c r="A1798" s="4" t="s">
        <v>3047</v>
      </c>
      <c r="B1798" s="8"/>
      <c r="C1798" s="6" t="s">
        <v>3048</v>
      </c>
      <c r="D1798" s="12">
        <f>D1796</f>
        <v>18.80063773</v>
      </c>
    </row>
    <row r="1799" ht="25.5" customHeight="1">
      <c r="A1799" s="4" t="s">
        <v>3049</v>
      </c>
      <c r="B1799" s="8"/>
      <c r="C1799" s="6" t="s">
        <v>1723</v>
      </c>
      <c r="D1799" s="12">
        <f>AVERAGE(D1765,D1779)</f>
        <v>16.55139373</v>
      </c>
    </row>
    <row r="1800" ht="25.5" customHeight="1">
      <c r="A1800" s="4" t="s">
        <v>3050</v>
      </c>
      <c r="B1800" s="8"/>
      <c r="C1800" s="6" t="s">
        <v>1185</v>
      </c>
      <c r="D1800" s="12">
        <f>D1787</f>
        <v>15.11730713</v>
      </c>
    </row>
    <row r="1801" ht="25.5" customHeight="1">
      <c r="A1801" s="4" t="s">
        <v>3051</v>
      </c>
      <c r="B1801" s="8"/>
      <c r="C1801" s="6" t="s">
        <v>3052</v>
      </c>
      <c r="D1801" s="12">
        <f>AVERAGE(D1802,D1761,D1774)</f>
        <v>13.20519165</v>
      </c>
    </row>
    <row r="1802" ht="25.5" customHeight="1">
      <c r="A1802" s="4" t="s">
        <v>3053</v>
      </c>
      <c r="B1802" s="8"/>
      <c r="C1802" s="6" t="s">
        <v>1419</v>
      </c>
      <c r="D1802" s="12">
        <f>D1657+(((D1390-D1657)/22)*9)</f>
        <v>14.16124939</v>
      </c>
    </row>
    <row r="1803" ht="25.5" customHeight="1">
      <c r="A1803" s="4" t="s">
        <v>3054</v>
      </c>
      <c r="B1803" s="8"/>
      <c r="C1803" s="6" t="s">
        <v>2426</v>
      </c>
      <c r="D1803" s="12">
        <f>AVERAGE(D1759,D1766,D1806,D1775)</f>
        <v>19.65858139</v>
      </c>
    </row>
    <row r="1804" ht="25.5" customHeight="1">
      <c r="A1804" s="4" t="s">
        <v>3055</v>
      </c>
      <c r="B1804" s="8"/>
      <c r="C1804" s="6" t="s">
        <v>3056</v>
      </c>
      <c r="D1804" s="12">
        <f>D1657+(((D1390-D1657)/22)*13)</f>
        <v>17.98548034</v>
      </c>
    </row>
    <row r="1805" ht="25.5" customHeight="1">
      <c r="A1805" s="4" t="s">
        <v>3057</v>
      </c>
      <c r="B1805" s="8"/>
      <c r="C1805" s="6" t="s">
        <v>3058</v>
      </c>
      <c r="D1805" s="12">
        <f>AVERAGE(D1793,D1767)</f>
        <v>19.89759582</v>
      </c>
    </row>
    <row r="1806" ht="25.5" customHeight="1">
      <c r="A1806" s="4" t="s">
        <v>3059</v>
      </c>
      <c r="B1806" s="8"/>
      <c r="C1806" s="6" t="s">
        <v>3060</v>
      </c>
      <c r="D1806" s="12">
        <f>D1766</f>
        <v>19.89759582</v>
      </c>
    </row>
    <row r="1807" ht="25.5" customHeight="1">
      <c r="A1807" s="4" t="s">
        <v>3061</v>
      </c>
      <c r="B1807" s="8"/>
      <c r="C1807" s="6" t="s">
        <v>3062</v>
      </c>
      <c r="D1807" s="12">
        <f>D1766</f>
        <v>19.89759582</v>
      </c>
    </row>
    <row r="1808" ht="25.5" customHeight="1">
      <c r="A1808" s="4" t="s">
        <v>3063</v>
      </c>
      <c r="B1808" s="8"/>
      <c r="C1808" s="6" t="s">
        <v>3064</v>
      </c>
      <c r="D1808" s="12">
        <f>D1785</f>
        <v>16.07336486</v>
      </c>
    </row>
    <row r="1809" ht="25.5" customHeight="1">
      <c r="A1809" s="4" t="s">
        <v>3065</v>
      </c>
      <c r="B1809" s="8"/>
      <c r="C1809" s="6" t="s">
        <v>1574</v>
      </c>
      <c r="D1809" s="12">
        <f>AVERAGE(D1779,D1804)</f>
        <v>17.50745147</v>
      </c>
    </row>
    <row r="1810" ht="25.5" customHeight="1">
      <c r="A1810" s="4" t="s">
        <v>3066</v>
      </c>
      <c r="B1810" s="11"/>
      <c r="C1810" s="6" t="s">
        <v>3067</v>
      </c>
      <c r="D1810" s="12">
        <f>D1784</f>
        <v>12.24913391</v>
      </c>
    </row>
    <row r="1811" ht="25.5" customHeight="1">
      <c r="A1811" s="4" t="s">
        <v>3068</v>
      </c>
      <c r="B1811" s="5" t="s">
        <v>3069</v>
      </c>
      <c r="C1811" s="6" t="s">
        <v>499</v>
      </c>
      <c r="D1811" s="12">
        <f>D1850</f>
        <v>12.52888889</v>
      </c>
    </row>
    <row r="1812" ht="25.5" customHeight="1">
      <c r="A1812" s="4" t="s">
        <v>3070</v>
      </c>
      <c r="B1812" s="8"/>
      <c r="C1812" s="6" t="s">
        <v>3071</v>
      </c>
      <c r="D1812" s="12">
        <f>D1864</f>
        <v>4.421101351</v>
      </c>
    </row>
    <row r="1813" ht="25.5" customHeight="1">
      <c r="A1813" s="4" t="s">
        <v>3072</v>
      </c>
      <c r="B1813" s="8"/>
      <c r="C1813" s="6" t="s">
        <v>3073</v>
      </c>
      <c r="D1813" s="12">
        <f>D1861</f>
        <v>11.71777778</v>
      </c>
    </row>
    <row r="1814" ht="25.5" customHeight="1">
      <c r="A1814" s="4" t="s">
        <v>3074</v>
      </c>
      <c r="B1814" s="8"/>
      <c r="C1814" s="6" t="s">
        <v>3075</v>
      </c>
      <c r="D1814" s="12">
        <f>AVERAGE(D3133,D1863,D1827)</f>
        <v>11.10944444</v>
      </c>
    </row>
    <row r="1815" ht="25.5" customHeight="1">
      <c r="A1815" s="4" t="s">
        <v>3076</v>
      </c>
      <c r="B1815" s="8"/>
      <c r="C1815" s="6" t="s">
        <v>1223</v>
      </c>
      <c r="D1815" s="12">
        <f>D1831</f>
        <v>12.12333333</v>
      </c>
    </row>
    <row r="1816" ht="25.5" customHeight="1">
      <c r="A1816" s="4" t="s">
        <v>3077</v>
      </c>
      <c r="B1816" s="8"/>
      <c r="C1816" s="6" t="s">
        <v>212</v>
      </c>
      <c r="D1816" s="12">
        <f>AVERAGE(D1849,D1873,D1881)</f>
        <v>12.65844136</v>
      </c>
    </row>
    <row r="1817" ht="25.5" customHeight="1">
      <c r="A1817" s="4" t="s">
        <v>3078</v>
      </c>
      <c r="B1817" s="8"/>
      <c r="C1817" s="6" t="s">
        <v>3079</v>
      </c>
      <c r="D1817" s="12">
        <f>D1872</f>
        <v>11.31222222</v>
      </c>
    </row>
    <row r="1818" ht="25.5" customHeight="1">
      <c r="A1818" s="4" t="s">
        <v>3080</v>
      </c>
      <c r="B1818" s="8"/>
      <c r="C1818" s="6" t="s">
        <v>1768</v>
      </c>
      <c r="D1818" s="12">
        <f>AVERAGE(D2376,D2391)</f>
        <v>8.645074324</v>
      </c>
    </row>
    <row r="1819" ht="25.5" customHeight="1">
      <c r="A1819" s="4" t="s">
        <v>3081</v>
      </c>
      <c r="B1819" s="8"/>
      <c r="C1819" s="6" t="s">
        <v>1297</v>
      </c>
      <c r="D1819" s="12">
        <f>AVERAGE(D1862,D1826,D1815)</f>
        <v>9.49784985</v>
      </c>
    </row>
    <row r="1820" ht="25.5" customHeight="1">
      <c r="A1820" s="4" t="s">
        <v>3082</v>
      </c>
      <c r="B1820" s="8"/>
      <c r="C1820" s="6" t="s">
        <v>3083</v>
      </c>
      <c r="D1820" s="12">
        <f>D2798+(((D1865-D2798)/18)*13)</f>
        <v>12.32611111</v>
      </c>
    </row>
    <row r="1821" ht="25.5" customHeight="1">
      <c r="A1821" s="4" t="s">
        <v>3084</v>
      </c>
      <c r="B1821" s="8"/>
      <c r="C1821" s="6" t="s">
        <v>3085</v>
      </c>
      <c r="D1821" s="12">
        <f>AVERAGE(D597,D621)</f>
        <v>10.81347658</v>
      </c>
    </row>
    <row r="1822" ht="25.5" customHeight="1">
      <c r="A1822" s="4" t="s">
        <v>3086</v>
      </c>
      <c r="B1822" s="8"/>
      <c r="C1822" s="6" t="s">
        <v>80</v>
      </c>
      <c r="D1822" s="12">
        <f>D1890</f>
        <v>13.13722222</v>
      </c>
    </row>
    <row r="1823" ht="25.5" customHeight="1">
      <c r="A1823" s="4" t="s">
        <v>3087</v>
      </c>
      <c r="B1823" s="8"/>
      <c r="C1823" s="6" t="s">
        <v>1079</v>
      </c>
      <c r="D1823" s="12">
        <f>D1865+(((D631-D1865)/9)*1)</f>
        <v>12.77407778</v>
      </c>
    </row>
    <row r="1824" ht="25.5" customHeight="1">
      <c r="A1824" s="4" t="s">
        <v>3088</v>
      </c>
      <c r="B1824" s="8"/>
      <c r="C1824" s="6" t="s">
        <v>1081</v>
      </c>
      <c r="D1824" s="12">
        <f>AVERAGE(D1836,D2378,D2430)</f>
        <v>5.744652452</v>
      </c>
    </row>
    <row r="1825" ht="25.5" customHeight="1">
      <c r="A1825" s="4" t="s">
        <v>3089</v>
      </c>
      <c r="B1825" s="8"/>
      <c r="C1825" s="6" t="s">
        <v>1593</v>
      </c>
      <c r="D1825" s="12">
        <f>AVERAGE(D1853,D1878,D295,D310)</f>
        <v>16.67984722</v>
      </c>
    </row>
    <row r="1826" ht="25.5" customHeight="1">
      <c r="A1826" s="4" t="s">
        <v>3090</v>
      </c>
      <c r="B1826" s="8"/>
      <c r="C1826" s="6" t="s">
        <v>3091</v>
      </c>
      <c r="D1826" s="12">
        <f>D2368</f>
        <v>7.92227027</v>
      </c>
    </row>
    <row r="1827" ht="25.5" customHeight="1">
      <c r="A1827" s="4" t="s">
        <v>3092</v>
      </c>
      <c r="B1827" s="8"/>
      <c r="C1827" s="6" t="s">
        <v>517</v>
      </c>
      <c r="D1827" s="12">
        <f>D2798+(((D1865-D2798)/18)*8)</f>
        <v>11.31222222</v>
      </c>
    </row>
    <row r="1828" ht="25.5" customHeight="1">
      <c r="A1828" s="4" t="s">
        <v>3093</v>
      </c>
      <c r="B1828" s="8"/>
      <c r="C1828" s="6" t="s">
        <v>94</v>
      </c>
      <c r="D1828" s="12">
        <f>D1851</f>
        <v>12.73166667</v>
      </c>
    </row>
    <row r="1829" ht="25.5" customHeight="1">
      <c r="A1829" s="4" t="s">
        <v>3094</v>
      </c>
      <c r="B1829" s="8"/>
      <c r="C1829" s="6" t="s">
        <v>3095</v>
      </c>
      <c r="D1829" s="12">
        <f>AVERAGE(D1822,D1837)</f>
        <v>12.38972778</v>
      </c>
    </row>
    <row r="1830" ht="25.5" customHeight="1">
      <c r="A1830" s="4" t="s">
        <v>3096</v>
      </c>
      <c r="B1830" s="8"/>
      <c r="C1830" s="6" t="s">
        <v>3097</v>
      </c>
      <c r="D1830" s="12">
        <f>AVERAGE(D1837,D1821,D1897)</f>
        <v>11.03132115</v>
      </c>
    </row>
    <row r="1831" ht="25.5" customHeight="1">
      <c r="A1831" s="4" t="s">
        <v>3098</v>
      </c>
      <c r="B1831" s="8"/>
      <c r="C1831" s="6" t="s">
        <v>527</v>
      </c>
      <c r="D1831" s="12">
        <f>AVERAGE(D1866,D1834,D1820)</f>
        <v>12.12333333</v>
      </c>
    </row>
    <row r="1832" ht="25.5" customHeight="1">
      <c r="A1832" s="4" t="s">
        <v>3099</v>
      </c>
      <c r="B1832" s="8"/>
      <c r="C1832" s="6" t="s">
        <v>2329</v>
      </c>
      <c r="D1832" s="12">
        <f>AVERAGE(D651,D2428)</f>
        <v>10.46303053</v>
      </c>
    </row>
    <row r="1833" ht="25.5" customHeight="1">
      <c r="A1833" s="4" t="s">
        <v>3100</v>
      </c>
      <c r="B1833" s="8"/>
      <c r="C1833" s="6" t="s">
        <v>3101</v>
      </c>
      <c r="D1833" s="12">
        <f>AVERAGE(D2388,D1893,D1817,D1891)</f>
        <v>9.736732733</v>
      </c>
    </row>
    <row r="1834" ht="25.5" customHeight="1">
      <c r="A1834" s="4" t="s">
        <v>3102</v>
      </c>
      <c r="B1834" s="8"/>
      <c r="C1834" s="6" t="s">
        <v>845</v>
      </c>
      <c r="D1834" s="12">
        <f>D2798+(((D1865-D2798)/18)*12)</f>
        <v>12.12333333</v>
      </c>
    </row>
    <row r="1835" ht="25.5" customHeight="1">
      <c r="A1835" s="4" t="s">
        <v>3103</v>
      </c>
      <c r="B1835" s="8"/>
      <c r="C1835" s="6" t="s">
        <v>3104</v>
      </c>
      <c r="D1835" s="12">
        <f>D2798+(((D1865-D2798)/18)*9)</f>
        <v>11.515</v>
      </c>
    </row>
    <row r="1836" ht="25.5" customHeight="1">
      <c r="A1836" s="4" t="s">
        <v>3105</v>
      </c>
      <c r="B1836" s="8"/>
      <c r="C1836" s="6" t="s">
        <v>3106</v>
      </c>
      <c r="D1836" s="12">
        <f>D2428</f>
        <v>10.37541902</v>
      </c>
    </row>
    <row r="1837" ht="25.5" customHeight="1">
      <c r="A1837" s="4" t="s">
        <v>3107</v>
      </c>
      <c r="B1837" s="8"/>
      <c r="C1837" s="6" t="s">
        <v>851</v>
      </c>
      <c r="D1837" s="12">
        <f>D1838</f>
        <v>11.64223333</v>
      </c>
    </row>
    <row r="1838" ht="25.5" customHeight="1">
      <c r="A1838" s="4" t="s">
        <v>3108</v>
      </c>
      <c r="B1838" s="8"/>
      <c r="C1838" s="6" t="s">
        <v>535</v>
      </c>
      <c r="D1838" s="12">
        <f>D1865+(((D631-D1865)/9)*3)</f>
        <v>11.64223333</v>
      </c>
    </row>
    <row r="1839" ht="25.5" customHeight="1">
      <c r="A1839" s="4" t="s">
        <v>3109</v>
      </c>
      <c r="B1839" s="8"/>
      <c r="C1839" s="6" t="s">
        <v>3110</v>
      </c>
      <c r="D1839" s="12">
        <f>AVERAGE(D310,D903,D968)</f>
        <v>25.31080247</v>
      </c>
    </row>
    <row r="1840" ht="25.5" customHeight="1">
      <c r="A1840" s="4" t="s">
        <v>3111</v>
      </c>
      <c r="B1840" s="8"/>
      <c r="C1840" s="6" t="s">
        <v>2335</v>
      </c>
      <c r="D1840" s="12">
        <f>D1903</f>
        <v>12.93444444</v>
      </c>
    </row>
    <row r="1841" ht="25.5" customHeight="1">
      <c r="A1841" s="4" t="s">
        <v>3112</v>
      </c>
      <c r="B1841" s="8"/>
      <c r="C1841" s="6" t="s">
        <v>126</v>
      </c>
      <c r="D1841" s="12">
        <f>D1860</f>
        <v>12.32611111</v>
      </c>
    </row>
    <row r="1842" ht="25.5" customHeight="1">
      <c r="A1842" s="4" t="s">
        <v>3113</v>
      </c>
      <c r="B1842" s="8"/>
      <c r="C1842" s="6" t="s">
        <v>3114</v>
      </c>
      <c r="D1842" s="12">
        <f>AVERAGE(D1834,D1866)</f>
        <v>12.02194444</v>
      </c>
    </row>
    <row r="1843" ht="25.5" customHeight="1">
      <c r="A1843" s="4" t="s">
        <v>3115</v>
      </c>
      <c r="B1843" s="8"/>
      <c r="C1843" s="6" t="s">
        <v>3116</v>
      </c>
      <c r="D1843" s="12">
        <f>AVERAGE(D1842,D1847)</f>
        <v>12.07263889</v>
      </c>
    </row>
    <row r="1844" ht="25.5" customHeight="1">
      <c r="A1844" s="4" t="s">
        <v>3117</v>
      </c>
      <c r="B1844" s="8"/>
      <c r="C1844" s="6" t="s">
        <v>3118</v>
      </c>
      <c r="D1844" s="12">
        <f>D1865</f>
        <v>13.34</v>
      </c>
    </row>
    <row r="1845" ht="25.5" customHeight="1">
      <c r="A1845" s="4" t="s">
        <v>3119</v>
      </c>
      <c r="B1845" s="8"/>
      <c r="C1845" s="6" t="s">
        <v>3120</v>
      </c>
      <c r="D1845" s="12">
        <f>AVERAGE(D1827,D1835,D1861)</f>
        <v>11.515</v>
      </c>
    </row>
    <row r="1846" ht="25.5" customHeight="1">
      <c r="A1846" s="4" t="s">
        <v>3121</v>
      </c>
      <c r="B1846" s="8"/>
      <c r="C1846" s="6" t="s">
        <v>545</v>
      </c>
      <c r="D1846" s="12">
        <f>AVERAGE(D1868,D1898)</f>
        <v>12.17402778</v>
      </c>
    </row>
    <row r="1847" ht="25.5" customHeight="1">
      <c r="A1847" s="4" t="s">
        <v>3122</v>
      </c>
      <c r="B1847" s="8"/>
      <c r="C1847" s="6" t="s">
        <v>3123</v>
      </c>
      <c r="D1847" s="12">
        <f>D1834</f>
        <v>12.12333333</v>
      </c>
    </row>
    <row r="1848" ht="25.5" customHeight="1">
      <c r="A1848" s="4" t="s">
        <v>3124</v>
      </c>
      <c r="B1848" s="8"/>
      <c r="C1848" s="6" t="s">
        <v>252</v>
      </c>
      <c r="D1848" s="12">
        <f>AVERAGE(D1845,D1813)</f>
        <v>11.61638889</v>
      </c>
    </row>
    <row r="1849" ht="25.5" customHeight="1">
      <c r="A1849" s="4" t="s">
        <v>3125</v>
      </c>
      <c r="B1849" s="8"/>
      <c r="C1849" s="6" t="s">
        <v>1634</v>
      </c>
      <c r="D1849" s="12">
        <f>D1857</f>
        <v>12.52888889</v>
      </c>
    </row>
    <row r="1850" ht="25.5" customHeight="1">
      <c r="A1850" s="4" t="s">
        <v>3126</v>
      </c>
      <c r="B1850" s="8"/>
      <c r="C1850" s="6" t="s">
        <v>894</v>
      </c>
      <c r="D1850" s="12">
        <f>D2798+(((D1865-D2798)/18)*14)</f>
        <v>12.52888889</v>
      </c>
    </row>
    <row r="1851" ht="25.5" customHeight="1">
      <c r="A1851" s="4" t="s">
        <v>3127</v>
      </c>
      <c r="B1851" s="8"/>
      <c r="C1851" s="6" t="s">
        <v>689</v>
      </c>
      <c r="D1851" s="12">
        <f>D2798+(((D1865-D2798)/18)*15)</f>
        <v>12.73166667</v>
      </c>
    </row>
    <row r="1852" ht="25.5" customHeight="1">
      <c r="A1852" s="4" t="s">
        <v>3128</v>
      </c>
      <c r="B1852" s="8"/>
      <c r="C1852" s="6" t="s">
        <v>1827</v>
      </c>
      <c r="D1852" s="12">
        <f>D1879</f>
        <v>12.22472222</v>
      </c>
    </row>
    <row r="1853" ht="25.5" customHeight="1">
      <c r="A1853" s="4" t="s">
        <v>3129</v>
      </c>
      <c r="B1853" s="8"/>
      <c r="C1853" s="6" t="s">
        <v>3130</v>
      </c>
      <c r="D1853" s="12">
        <f>D1866</f>
        <v>11.92055556</v>
      </c>
    </row>
    <row r="1854" ht="25.5" customHeight="1">
      <c r="A1854" s="4" t="s">
        <v>3131</v>
      </c>
      <c r="B1854" s="8"/>
      <c r="C1854" s="6" t="s">
        <v>3132</v>
      </c>
      <c r="D1854" s="12">
        <f>AVERAGE(D1853,D968)</f>
        <v>17.98777778</v>
      </c>
    </row>
    <row r="1855" ht="25.5" customHeight="1">
      <c r="A1855" s="4" t="s">
        <v>3133</v>
      </c>
      <c r="B1855" s="8"/>
      <c r="C1855" s="6" t="s">
        <v>2508</v>
      </c>
      <c r="D1855" s="12">
        <f>AVERAGE(D1864,D1818)</f>
        <v>6.533087838</v>
      </c>
    </row>
    <row r="1856" ht="25.5" customHeight="1">
      <c r="A1856" s="4" t="s">
        <v>3134</v>
      </c>
      <c r="B1856" s="8"/>
      <c r="C1856" s="6" t="s">
        <v>3135</v>
      </c>
      <c r="D1856" s="12">
        <f>D1870</f>
        <v>11.81916667</v>
      </c>
    </row>
    <row r="1857" ht="25.5" customHeight="1">
      <c r="A1857" s="4" t="s">
        <v>3136</v>
      </c>
      <c r="B1857" s="8"/>
      <c r="C1857" s="6" t="s">
        <v>259</v>
      </c>
      <c r="D1857" s="12">
        <f>D1850</f>
        <v>12.52888889</v>
      </c>
    </row>
    <row r="1858" ht="25.5" customHeight="1">
      <c r="A1858" s="4" t="s">
        <v>3137</v>
      </c>
      <c r="B1858" s="8"/>
      <c r="C1858" s="6" t="s">
        <v>140</v>
      </c>
      <c r="D1858" s="12">
        <f>AVERAGE(D1886,D1844,D992)</f>
        <v>11.03803704</v>
      </c>
    </row>
    <row r="1859" ht="25.5" customHeight="1">
      <c r="A1859" s="4" t="s">
        <v>3138</v>
      </c>
      <c r="B1859" s="8"/>
      <c r="C1859" s="6" t="s">
        <v>267</v>
      </c>
      <c r="D1859" s="12">
        <f>AVERAGE(D1844,D1874,D1876)</f>
        <v>10.19956528</v>
      </c>
    </row>
    <row r="1860" ht="25.5" customHeight="1">
      <c r="A1860" s="4" t="s">
        <v>3139</v>
      </c>
      <c r="B1860" s="8"/>
      <c r="C1860" s="6" t="s">
        <v>3140</v>
      </c>
      <c r="D1860" s="12">
        <f>D1820</f>
        <v>12.32611111</v>
      </c>
    </row>
    <row r="1861" ht="25.5" customHeight="1">
      <c r="A1861" s="4" t="s">
        <v>3141</v>
      </c>
      <c r="B1861" s="8"/>
      <c r="C1861" s="6" t="s">
        <v>3142</v>
      </c>
      <c r="D1861" s="12">
        <f>D2798+(((D1865-D2798)/18)*10)</f>
        <v>11.71777778</v>
      </c>
    </row>
    <row r="1862" ht="25.5" customHeight="1">
      <c r="A1862" s="4" t="s">
        <v>3143</v>
      </c>
      <c r="B1862" s="8"/>
      <c r="C1862" s="6" t="s">
        <v>3144</v>
      </c>
      <c r="D1862" s="12">
        <f>AVERAGE(D2391,D2426)</f>
        <v>8.447945946</v>
      </c>
    </row>
    <row r="1863" ht="25.5" customHeight="1">
      <c r="A1863" s="4" t="s">
        <v>3145</v>
      </c>
      <c r="B1863" s="8"/>
      <c r="C1863" s="6" t="s">
        <v>3146</v>
      </c>
      <c r="D1863" s="12">
        <f>D2798+(((D1865-D2798)/18)*7)</f>
        <v>11.10944444</v>
      </c>
    </row>
    <row r="1864" ht="25.5" customHeight="1">
      <c r="A1864" s="4" t="s">
        <v>3147</v>
      </c>
      <c r="B1864" s="8"/>
      <c r="C1864" s="6" t="s">
        <v>1362</v>
      </c>
      <c r="D1864" s="12">
        <f>AVERAGE(D2430,D2376)</f>
        <v>4.421101351</v>
      </c>
    </row>
    <row r="1865" ht="25.5" customHeight="1">
      <c r="A1865" s="4" t="s">
        <v>3148</v>
      </c>
      <c r="B1865" s="8"/>
      <c r="C1865" s="9" t="s">
        <v>3149</v>
      </c>
      <c r="D1865" s="12">
        <v>13.34</v>
      </c>
      <c r="E1865" s="10" t="s">
        <v>3150</v>
      </c>
    </row>
    <row r="1866" ht="25.5" customHeight="1">
      <c r="A1866" s="4" t="s">
        <v>3151</v>
      </c>
      <c r="B1866" s="8"/>
      <c r="C1866" s="6" t="s">
        <v>273</v>
      </c>
      <c r="D1866" s="12">
        <f>D2798+(((D1865-D2798)/18)*11)</f>
        <v>11.92055556</v>
      </c>
    </row>
    <row r="1867" ht="25.5" customHeight="1">
      <c r="A1867" s="4" t="s">
        <v>3152</v>
      </c>
      <c r="B1867" s="8"/>
      <c r="C1867" s="6" t="s">
        <v>277</v>
      </c>
      <c r="D1867" s="12">
        <f>D1866</f>
        <v>11.92055556</v>
      </c>
    </row>
    <row r="1868" ht="25.5" customHeight="1">
      <c r="A1868" s="4" t="s">
        <v>3153</v>
      </c>
      <c r="B1868" s="8"/>
      <c r="C1868" s="6" t="s">
        <v>3154</v>
      </c>
      <c r="D1868" s="12">
        <f>D1831</f>
        <v>12.12333333</v>
      </c>
    </row>
    <row r="1869" ht="25.5" customHeight="1">
      <c r="A1869" s="4" t="s">
        <v>3155</v>
      </c>
      <c r="B1869" s="8"/>
      <c r="C1869" s="6" t="s">
        <v>157</v>
      </c>
      <c r="D1869" s="12">
        <f>D1881</f>
        <v>12.86685185</v>
      </c>
    </row>
    <row r="1870" ht="25.5" customHeight="1">
      <c r="A1870" s="4" t="s">
        <v>3156</v>
      </c>
      <c r="B1870" s="8"/>
      <c r="C1870" s="6" t="s">
        <v>1669</v>
      </c>
      <c r="D1870" s="12">
        <f>AVERAGE(D1861,D1866)</f>
        <v>11.81916667</v>
      </c>
    </row>
    <row r="1871" ht="25.5" customHeight="1">
      <c r="A1871" s="4" t="s">
        <v>3157</v>
      </c>
      <c r="B1871" s="8"/>
      <c r="C1871" s="6" t="s">
        <v>3158</v>
      </c>
      <c r="D1871" s="12">
        <f>AVERAGE(D1850,D1851)</f>
        <v>12.63027778</v>
      </c>
    </row>
    <row r="1872" ht="25.5" customHeight="1">
      <c r="A1872" s="4" t="s">
        <v>3159</v>
      </c>
      <c r="B1872" s="8"/>
      <c r="C1872" s="6" t="s">
        <v>3160</v>
      </c>
      <c r="D1872" s="12">
        <f>D1827</f>
        <v>11.31222222</v>
      </c>
    </row>
    <row r="1873" ht="25.5" customHeight="1">
      <c r="A1873" s="4" t="s">
        <v>3161</v>
      </c>
      <c r="B1873" s="8"/>
      <c r="C1873" s="6" t="s">
        <v>3162</v>
      </c>
      <c r="D1873" s="12">
        <f>AVERAGE(D1857,D1871)</f>
        <v>12.57958333</v>
      </c>
    </row>
    <row r="1874" ht="25.5" customHeight="1">
      <c r="A1874" s="4" t="s">
        <v>3163</v>
      </c>
      <c r="B1874" s="8"/>
      <c r="C1874" s="6" t="s">
        <v>1680</v>
      </c>
      <c r="D1874" s="12">
        <f>D1407</f>
        <v>6.922694444</v>
      </c>
    </row>
    <row r="1875" ht="25.5" customHeight="1">
      <c r="A1875" s="4" t="s">
        <v>3164</v>
      </c>
      <c r="B1875" s="8"/>
      <c r="C1875" s="6" t="s">
        <v>3165</v>
      </c>
      <c r="D1875" s="12">
        <f>D1828</f>
        <v>12.73166667</v>
      </c>
    </row>
    <row r="1876" ht="25.5" customHeight="1">
      <c r="A1876" s="4" t="s">
        <v>3166</v>
      </c>
      <c r="B1876" s="8"/>
      <c r="C1876" s="6" t="s">
        <v>3167</v>
      </c>
      <c r="D1876" s="12">
        <f>AVERAGE(D1407,D590,D1823,D1865)</f>
        <v>10.33600139</v>
      </c>
    </row>
    <row r="1877" ht="25.5" customHeight="1">
      <c r="A1877" s="4" t="s">
        <v>3168</v>
      </c>
      <c r="B1877" s="8"/>
      <c r="C1877" s="6" t="s">
        <v>1694</v>
      </c>
      <c r="D1877" s="12">
        <f>AVERAGE(D1844,D1884,D949)</f>
        <v>8.471218519</v>
      </c>
    </row>
    <row r="1878" ht="25.5" customHeight="1">
      <c r="A1878" s="4" t="s">
        <v>3169</v>
      </c>
      <c r="B1878" s="8"/>
      <c r="C1878" s="6" t="s">
        <v>3170</v>
      </c>
      <c r="D1878" s="12">
        <f>AVERAGE(D1866,D1861,D305)</f>
        <v>13.01425926</v>
      </c>
    </row>
    <row r="1879" ht="25.5" customHeight="1">
      <c r="A1879" s="4" t="s">
        <v>3171</v>
      </c>
      <c r="B1879" s="8"/>
      <c r="C1879" s="6" t="s">
        <v>2557</v>
      </c>
      <c r="D1879" s="12">
        <f>AVERAGE(D1820,D1834)</f>
        <v>12.22472222</v>
      </c>
    </row>
    <row r="1880" ht="25.5" customHeight="1">
      <c r="A1880" s="4" t="s">
        <v>3172</v>
      </c>
      <c r="B1880" s="8"/>
      <c r="C1880" s="6" t="s">
        <v>964</v>
      </c>
      <c r="D1880" s="12">
        <f>AVERAGE(D1900,D1824,D1864)</f>
        <v>6.890863363</v>
      </c>
    </row>
    <row r="1881" ht="25.5" customHeight="1">
      <c r="A1881" s="4" t="s">
        <v>3173</v>
      </c>
      <c r="B1881" s="8"/>
      <c r="C1881" s="6" t="s">
        <v>2560</v>
      </c>
      <c r="D1881" s="12">
        <f>AVERAGE(D1871,D1882,D1822)</f>
        <v>12.86685185</v>
      </c>
    </row>
    <row r="1882" ht="25.5" customHeight="1">
      <c r="A1882" s="4" t="s">
        <v>3174</v>
      </c>
      <c r="B1882" s="8"/>
      <c r="C1882" s="6" t="s">
        <v>301</v>
      </c>
      <c r="D1882" s="12">
        <f>AVERAGE(D1851,D1903)</f>
        <v>12.83305556</v>
      </c>
    </row>
    <row r="1883" ht="25.5" customHeight="1">
      <c r="A1883" s="4" t="s">
        <v>3175</v>
      </c>
      <c r="B1883" s="8"/>
      <c r="C1883" s="6" t="s">
        <v>3176</v>
      </c>
      <c r="D1883" s="12">
        <f>D1842</f>
        <v>12.02194444</v>
      </c>
    </row>
    <row r="1884" ht="25.5" customHeight="1">
      <c r="A1884" s="4" t="s">
        <v>3177</v>
      </c>
      <c r="B1884" s="8"/>
      <c r="C1884" s="6" t="s">
        <v>3178</v>
      </c>
      <c r="D1884" s="12">
        <f>D1448</f>
        <v>5.538155556</v>
      </c>
    </row>
    <row r="1885" ht="25.5" customHeight="1">
      <c r="A1885" s="4" t="s">
        <v>3179</v>
      </c>
      <c r="B1885" s="8"/>
      <c r="C1885" s="6" t="s">
        <v>2413</v>
      </c>
      <c r="D1885" s="12">
        <f>AVERAGE(D1862,D1868)</f>
        <v>10.28563964</v>
      </c>
    </row>
    <row r="1886" ht="25.5" customHeight="1">
      <c r="A1886" s="4" t="s">
        <v>3180</v>
      </c>
      <c r="B1886" s="8"/>
      <c r="C1886" s="6" t="s">
        <v>310</v>
      </c>
      <c r="D1886" s="12">
        <f>AVERAGE(D1865,D1890)</f>
        <v>13.23861111</v>
      </c>
    </row>
    <row r="1887" ht="25.5" customHeight="1">
      <c r="A1887" s="4" t="s">
        <v>3181</v>
      </c>
      <c r="B1887" s="8"/>
      <c r="C1887" s="6" t="s">
        <v>3182</v>
      </c>
      <c r="D1887" s="12">
        <f>D1865+(((D631-D1865)/9)*2)</f>
        <v>12.20815556</v>
      </c>
    </row>
    <row r="1888" ht="25.5" customHeight="1">
      <c r="A1888" s="4" t="s">
        <v>3183</v>
      </c>
      <c r="B1888" s="8"/>
      <c r="C1888" s="6" t="s">
        <v>3184</v>
      </c>
      <c r="D1888" s="12">
        <f>AVERAGE(D1865,D1823,D1887,D1838)</f>
        <v>12.49111667</v>
      </c>
    </row>
    <row r="1889" ht="25.5" customHeight="1">
      <c r="A1889" s="4" t="s">
        <v>3185</v>
      </c>
      <c r="B1889" s="8"/>
      <c r="C1889" s="6" t="s">
        <v>3186</v>
      </c>
      <c r="D1889" s="12">
        <f>AVERAGE(D3130,D1814,D1872)</f>
        <v>10.91938514</v>
      </c>
    </row>
    <row r="1890" ht="25.5" customHeight="1">
      <c r="A1890" s="4" t="s">
        <v>3187</v>
      </c>
      <c r="B1890" s="8"/>
      <c r="C1890" s="6" t="s">
        <v>1719</v>
      </c>
      <c r="D1890" s="12">
        <f>D2798+(((D1865-D2798)/18)*17)</f>
        <v>13.13722222</v>
      </c>
    </row>
    <row r="1891" ht="25.5" customHeight="1">
      <c r="A1891" s="4" t="s">
        <v>3188</v>
      </c>
      <c r="B1891" s="8"/>
      <c r="C1891" s="6" t="s">
        <v>1723</v>
      </c>
      <c r="D1891" s="12">
        <f>AVERAGE(D1845,D2416)</f>
        <v>9.652925676</v>
      </c>
    </row>
    <row r="1892" ht="25.5" customHeight="1">
      <c r="A1892" s="4" t="s">
        <v>3189</v>
      </c>
      <c r="B1892" s="8"/>
      <c r="C1892" s="6" t="s">
        <v>1725</v>
      </c>
      <c r="D1892" s="12">
        <f>D1820</f>
        <v>12.32611111</v>
      </c>
    </row>
    <row r="1893" ht="25.5" customHeight="1">
      <c r="A1893" s="4" t="s">
        <v>3190</v>
      </c>
      <c r="B1893" s="8"/>
      <c r="C1893" s="6" t="s">
        <v>1185</v>
      </c>
      <c r="D1893" s="12">
        <f>AVERAGE(D3136,D3130)</f>
        <v>9.766310811</v>
      </c>
    </row>
    <row r="1894" ht="25.5" customHeight="1">
      <c r="A1894" s="4" t="s">
        <v>3191</v>
      </c>
      <c r="B1894" s="8"/>
      <c r="C1894" s="6" t="s">
        <v>1731</v>
      </c>
      <c r="D1894" s="12">
        <f>AVERAGE(D1881,D1829,D1830,D1900)</f>
        <v>11.69868427</v>
      </c>
    </row>
    <row r="1895" ht="25.5" customHeight="1">
      <c r="A1895" s="4" t="s">
        <v>3192</v>
      </c>
      <c r="B1895" s="8"/>
      <c r="C1895" s="6" t="s">
        <v>3193</v>
      </c>
      <c r="D1895" s="12">
        <f>D1840</f>
        <v>12.93444444</v>
      </c>
    </row>
    <row r="1896" ht="25.5" customHeight="1">
      <c r="A1896" s="4" t="s">
        <v>3194</v>
      </c>
      <c r="B1896" s="8"/>
      <c r="C1896" s="6" t="s">
        <v>1002</v>
      </c>
      <c r="D1896" s="12">
        <f>AVERAGE(D1870,D1867)</f>
        <v>11.86986111</v>
      </c>
    </row>
    <row r="1897" ht="25.5" customHeight="1">
      <c r="A1897" s="4" t="s">
        <v>3195</v>
      </c>
      <c r="B1897" s="8"/>
      <c r="C1897" s="6" t="s">
        <v>3196</v>
      </c>
      <c r="D1897" s="12">
        <f>AVERAGE(D621,D651)</f>
        <v>10.63825355</v>
      </c>
    </row>
    <row r="1898" ht="25.5" customHeight="1">
      <c r="A1898" s="4" t="s">
        <v>3197</v>
      </c>
      <c r="B1898" s="8"/>
      <c r="C1898" s="6" t="s">
        <v>1287</v>
      </c>
      <c r="D1898" s="12">
        <f>AVERAGE(D1831,D1892)</f>
        <v>12.22472222</v>
      </c>
    </row>
    <row r="1899" ht="25.5" customHeight="1">
      <c r="A1899" s="4" t="s">
        <v>3198</v>
      </c>
      <c r="B1899" s="8"/>
      <c r="C1899" s="6" t="s">
        <v>197</v>
      </c>
      <c r="D1899" s="12">
        <f>AVERAGE(D1838,D632,D597)</f>
        <v>11.20654418</v>
      </c>
    </row>
    <row r="1900" ht="25.5" customHeight="1">
      <c r="A1900" s="4" t="s">
        <v>3199</v>
      </c>
      <c r="B1900" s="8"/>
      <c r="C1900" s="6" t="s">
        <v>1028</v>
      </c>
      <c r="D1900" s="12">
        <f>AVERAGE(D1897,D1836)</f>
        <v>10.50683629</v>
      </c>
    </row>
    <row r="1901" ht="25.5" customHeight="1">
      <c r="A1901" s="4" t="s">
        <v>3200</v>
      </c>
      <c r="B1901" s="8"/>
      <c r="C1901" s="6" t="s">
        <v>1030</v>
      </c>
      <c r="D1901" s="12">
        <f>D1811</f>
        <v>12.52888889</v>
      </c>
    </row>
    <row r="1902" ht="25.5" customHeight="1">
      <c r="A1902" s="4" t="s">
        <v>3201</v>
      </c>
      <c r="B1902" s="8"/>
      <c r="C1902" s="6" t="s">
        <v>1032</v>
      </c>
      <c r="D1902" s="12">
        <f>D1849</f>
        <v>12.52888889</v>
      </c>
    </row>
    <row r="1903" ht="25.5" customHeight="1">
      <c r="A1903" s="4" t="s">
        <v>3202</v>
      </c>
      <c r="B1903" s="11"/>
      <c r="C1903" s="6" t="s">
        <v>2145</v>
      </c>
      <c r="D1903" s="12">
        <f>D2798+(((D1865-D2798)/18)*16)</f>
        <v>12.93444444</v>
      </c>
    </row>
    <row r="1904" ht="25.5" customHeight="1">
      <c r="A1904" s="4" t="s">
        <v>3203</v>
      </c>
      <c r="B1904" s="5" t="s">
        <v>3204</v>
      </c>
      <c r="C1904" s="6" t="s">
        <v>3205</v>
      </c>
      <c r="D1904" s="12">
        <f>AVERAGE(D1908,D1910,D1912)</f>
        <v>7.064238095</v>
      </c>
    </row>
    <row r="1905" ht="25.5" customHeight="1">
      <c r="A1905" s="4" t="s">
        <v>3206</v>
      </c>
      <c r="B1905" s="8"/>
      <c r="C1905" s="6" t="s">
        <v>218</v>
      </c>
      <c r="D1905" s="12">
        <f>AVERAGE(D1908,D1904,D1912,D1234)</f>
        <v>6.220095238</v>
      </c>
    </row>
    <row r="1906" ht="25.5" customHeight="1">
      <c r="A1906" s="4" t="s">
        <v>3207</v>
      </c>
      <c r="B1906" s="8"/>
      <c r="C1906" s="6" t="s">
        <v>3208</v>
      </c>
      <c r="D1906" s="12">
        <f>D2956+(((D315-D2956)/6)*2)</f>
        <v>11.71295873</v>
      </c>
    </row>
    <row r="1907" ht="25.5" customHeight="1">
      <c r="A1907" s="4" t="s">
        <v>3209</v>
      </c>
      <c r="B1907" s="8"/>
      <c r="C1907" s="6" t="s">
        <v>3210</v>
      </c>
      <c r="D1907" s="12">
        <f>AVERAGE(D2947,D1908,D1905,D1227)</f>
        <v>10.28706825</v>
      </c>
    </row>
    <row r="1908" ht="25.5" customHeight="1">
      <c r="A1908" s="4" t="s">
        <v>3211</v>
      </c>
      <c r="B1908" s="8"/>
      <c r="C1908" s="6" t="s">
        <v>3212</v>
      </c>
      <c r="D1908" s="12">
        <f>D2954+(((D1911-D2954)/7)*3)</f>
        <v>6.753142857</v>
      </c>
    </row>
    <row r="1909" ht="25.5" customHeight="1">
      <c r="A1909" s="4" t="s">
        <v>3213</v>
      </c>
      <c r="B1909" s="8"/>
      <c r="C1909" s="6" t="s">
        <v>699</v>
      </c>
      <c r="D1909" s="12">
        <f>D2954+(((D1911-D2954)/7)*6)</f>
        <v>6.953285714</v>
      </c>
    </row>
    <row r="1910" ht="25.5" customHeight="1">
      <c r="A1910" s="4" t="s">
        <v>3214</v>
      </c>
      <c r="B1910" s="8"/>
      <c r="C1910" s="6" t="s">
        <v>3215</v>
      </c>
      <c r="D1910" s="12">
        <f>D2954+(((D1911-D2954)/7)*5)</f>
        <v>6.886571429</v>
      </c>
    </row>
    <row r="1911" ht="25.5" customHeight="1">
      <c r="A1911" s="4" t="s">
        <v>3216</v>
      </c>
      <c r="B1911" s="8"/>
      <c r="C1911" s="6" t="s">
        <v>2947</v>
      </c>
      <c r="D1911" s="12">
        <f>D1221+(((D1189-D1221)/4)*2)</f>
        <v>7.02</v>
      </c>
    </row>
    <row r="1912" ht="25.5" customHeight="1">
      <c r="A1912" s="4" t="s">
        <v>3217</v>
      </c>
      <c r="B1912" s="8"/>
      <c r="C1912" s="9" t="s">
        <v>3218</v>
      </c>
      <c r="D1912" s="12">
        <v>7.553</v>
      </c>
      <c r="E1912" s="10" t="s">
        <v>3219</v>
      </c>
    </row>
    <row r="1913" ht="25.5" customHeight="1">
      <c r="A1913" s="4" t="s">
        <v>3220</v>
      </c>
      <c r="B1913" s="11"/>
      <c r="C1913" s="6" t="s">
        <v>1553</v>
      </c>
      <c r="D1913" s="12">
        <f>D2954+(((D1911-D2954)/7)*4)</f>
        <v>6.819857143</v>
      </c>
    </row>
    <row r="1914" ht="25.5" customHeight="1">
      <c r="A1914" s="4" t="s">
        <v>3221</v>
      </c>
      <c r="B1914" s="5" t="s">
        <v>3222</v>
      </c>
      <c r="C1914" s="6" t="s">
        <v>3223</v>
      </c>
      <c r="D1914" s="12">
        <f>AVERAGE(D1918,D1919,D1921,D1917,D1916,D1928)</f>
        <v>2.1615</v>
      </c>
    </row>
    <row r="1915" ht="25.5" customHeight="1">
      <c r="A1915" s="4" t="s">
        <v>3224</v>
      </c>
      <c r="B1915" s="8"/>
      <c r="C1915" s="9" t="s">
        <v>3225</v>
      </c>
      <c r="D1915" s="12">
        <v>18.8</v>
      </c>
      <c r="E1915" s="10" t="s">
        <v>3226</v>
      </c>
    </row>
    <row r="1916" ht="25.5" customHeight="1">
      <c r="A1916" s="4" t="s">
        <v>3227</v>
      </c>
      <c r="B1916" s="8"/>
      <c r="C1916" s="6" t="s">
        <v>3228</v>
      </c>
      <c r="D1916" s="12">
        <f>D1924+(((D322-D1924)/5)*1)</f>
        <v>4.716</v>
      </c>
    </row>
    <row r="1917" ht="25.5" customHeight="1">
      <c r="A1917" s="4" t="s">
        <v>3229</v>
      </c>
      <c r="B1917" s="8"/>
      <c r="C1917" s="6" t="s">
        <v>804</v>
      </c>
      <c r="D1917" s="12">
        <f>D1924+(((D322-D1924)/5)*2)</f>
        <v>3.537</v>
      </c>
    </row>
    <row r="1918" ht="25.5" customHeight="1">
      <c r="A1918" s="4" t="s">
        <v>3230</v>
      </c>
      <c r="B1918" s="8"/>
      <c r="C1918" s="6" t="s">
        <v>3231</v>
      </c>
      <c r="D1918" s="12">
        <f>D1919</f>
        <v>0</v>
      </c>
    </row>
    <row r="1919" ht="25.5" customHeight="1">
      <c r="A1919" s="4" t="s">
        <v>3232</v>
      </c>
      <c r="B1919" s="8"/>
      <c r="C1919" s="9" t="s">
        <v>1315</v>
      </c>
      <c r="D1919" s="12">
        <v>0.0</v>
      </c>
      <c r="E1919" s="10" t="s">
        <v>3233</v>
      </c>
    </row>
    <row r="1920" ht="25.5" customHeight="1">
      <c r="A1920" s="4" t="s">
        <v>3234</v>
      </c>
      <c r="B1920" s="8"/>
      <c r="C1920" s="9" t="s">
        <v>2054</v>
      </c>
      <c r="D1920" s="12">
        <f>D1915</f>
        <v>18.8</v>
      </c>
      <c r="E1920" s="13" t="s">
        <v>3226</v>
      </c>
    </row>
    <row r="1921" ht="25.5" customHeight="1">
      <c r="A1921" s="4" t="s">
        <v>3235</v>
      </c>
      <c r="B1921" s="8"/>
      <c r="C1921" s="6" t="s">
        <v>3236</v>
      </c>
      <c r="D1921" s="12">
        <f>D1924+(((D322-D1924)/5)*3)</f>
        <v>2.358</v>
      </c>
    </row>
    <row r="1922" ht="25.5" customHeight="1">
      <c r="A1922" s="4" t="s">
        <v>3237</v>
      </c>
      <c r="B1922" s="8"/>
      <c r="C1922" s="9" t="s">
        <v>3238</v>
      </c>
      <c r="D1922" s="12">
        <f>D1915</f>
        <v>18.8</v>
      </c>
      <c r="E1922" s="13" t="s">
        <v>3226</v>
      </c>
    </row>
    <row r="1923" ht="25.5" customHeight="1">
      <c r="A1923" s="4" t="s">
        <v>3239</v>
      </c>
      <c r="B1923" s="8"/>
      <c r="C1923" s="6" t="s">
        <v>3240</v>
      </c>
      <c r="D1923" s="12">
        <f>D2285+(((D1931-D2285)/5)*4)</f>
        <v>11.70755556</v>
      </c>
    </row>
    <row r="1924" ht="25.5" customHeight="1">
      <c r="A1924" s="4" t="s">
        <v>3241</v>
      </c>
      <c r="B1924" s="8"/>
      <c r="C1924" s="6" t="s">
        <v>1388</v>
      </c>
      <c r="D1924" s="12">
        <f>AVERAGE(D1931,D1926)</f>
        <v>5.895</v>
      </c>
    </row>
    <row r="1925" ht="25.5" customHeight="1">
      <c r="A1925" s="4" t="s">
        <v>3242</v>
      </c>
      <c r="B1925" s="8"/>
      <c r="C1925" s="6" t="s">
        <v>2061</v>
      </c>
      <c r="D1925" s="12">
        <f>AVERAGE(D1926,D1931,D1933)</f>
        <v>10.19666667</v>
      </c>
    </row>
    <row r="1926" ht="25.5" customHeight="1">
      <c r="A1926" s="4" t="s">
        <v>3243</v>
      </c>
      <c r="B1926" s="8"/>
      <c r="C1926" s="9" t="s">
        <v>3244</v>
      </c>
      <c r="D1926" s="12">
        <v>0.0</v>
      </c>
      <c r="E1926" s="10" t="s">
        <v>3245</v>
      </c>
    </row>
    <row r="1927" ht="25.5" customHeight="1">
      <c r="A1927" s="4" t="s">
        <v>3246</v>
      </c>
      <c r="B1927" s="8"/>
      <c r="C1927" s="6" t="s">
        <v>1676</v>
      </c>
      <c r="D1927" s="12">
        <f>D2287+(((D1920-D2287)/5)*4)</f>
        <v>16.74666667</v>
      </c>
    </row>
    <row r="1928" ht="25.5" customHeight="1">
      <c r="A1928" s="4" t="s">
        <v>3247</v>
      </c>
      <c r="B1928" s="8"/>
      <c r="C1928" s="6" t="s">
        <v>3248</v>
      </c>
      <c r="D1928" s="12">
        <f>AVERAGE(D1926,D1916)</f>
        <v>2.358</v>
      </c>
    </row>
    <row r="1929" ht="25.5" customHeight="1">
      <c r="A1929" s="4" t="s">
        <v>3249</v>
      </c>
      <c r="B1929" s="8"/>
      <c r="C1929" s="9" t="s">
        <v>3250</v>
      </c>
      <c r="D1929" s="12">
        <f>D1915</f>
        <v>18.8</v>
      </c>
      <c r="E1929" s="13" t="s">
        <v>3226</v>
      </c>
    </row>
    <row r="1930" ht="25.5" customHeight="1">
      <c r="A1930" s="4" t="s">
        <v>3251</v>
      </c>
      <c r="B1930" s="8"/>
      <c r="C1930" s="6" t="s">
        <v>3252</v>
      </c>
      <c r="D1930" s="12">
        <f>D1924+(((D322-D1924)/5)*4)</f>
        <v>1.179</v>
      </c>
    </row>
    <row r="1931" ht="25.5" customHeight="1">
      <c r="A1931" s="4" t="s">
        <v>3253</v>
      </c>
      <c r="B1931" s="8"/>
      <c r="C1931" s="9" t="s">
        <v>2107</v>
      </c>
      <c r="D1931" s="12">
        <v>11.79</v>
      </c>
      <c r="E1931" s="10" t="s">
        <v>3254</v>
      </c>
    </row>
    <row r="1932" ht="25.5" customHeight="1">
      <c r="A1932" s="4" t="s">
        <v>3255</v>
      </c>
      <c r="B1932" s="8"/>
      <c r="C1932" s="6" t="s">
        <v>645</v>
      </c>
      <c r="D1932" s="12">
        <f>D1929</f>
        <v>18.8</v>
      </c>
    </row>
    <row r="1933" ht="25.5" customHeight="1">
      <c r="A1933" s="4" t="s">
        <v>3256</v>
      </c>
      <c r="B1933" s="8"/>
      <c r="C1933" s="9" t="s">
        <v>326</v>
      </c>
      <c r="D1933" s="12">
        <f>D1915</f>
        <v>18.8</v>
      </c>
      <c r="E1933" s="13" t="s">
        <v>3226</v>
      </c>
    </row>
    <row r="1934" ht="25.5" customHeight="1">
      <c r="A1934" s="4" t="s">
        <v>3257</v>
      </c>
      <c r="B1934" s="11"/>
      <c r="C1934" s="6" t="s">
        <v>1025</v>
      </c>
      <c r="D1934" s="12">
        <f>D2287+(((D1920-D2287)/5)*3)</f>
        <v>14.69333333</v>
      </c>
    </row>
    <row r="1935" ht="25.5" customHeight="1">
      <c r="A1935" s="4" t="s">
        <v>3258</v>
      </c>
      <c r="B1935" s="5" t="s">
        <v>3259</v>
      </c>
      <c r="C1935" s="6" t="s">
        <v>3260</v>
      </c>
      <c r="D1935" s="7">
        <f>D224+(((D2714-D224)/13)*8)</f>
        <v>11.78192308</v>
      </c>
    </row>
    <row r="1936" ht="25.5" customHeight="1">
      <c r="A1936" s="4" t="s">
        <v>3261</v>
      </c>
      <c r="B1936" s="8"/>
      <c r="C1936" s="6" t="s">
        <v>3262</v>
      </c>
      <c r="D1936" s="12">
        <f>AVERAGE(D1944,D1962,D1963,D1938,D174)</f>
        <v>7.518434249</v>
      </c>
    </row>
    <row r="1937" ht="25.5" customHeight="1">
      <c r="A1937" s="4" t="s">
        <v>3263</v>
      </c>
      <c r="B1937" s="8"/>
      <c r="C1937" s="6" t="s">
        <v>3264</v>
      </c>
      <c r="D1937" s="12">
        <f>AVERAGE(D1957,D1941,D1949,D1954,D1943)</f>
        <v>9.56233293</v>
      </c>
    </row>
    <row r="1938" ht="25.5" customHeight="1">
      <c r="A1938" s="4" t="s">
        <v>3265</v>
      </c>
      <c r="B1938" s="8"/>
      <c r="C1938" s="6" t="s">
        <v>3266</v>
      </c>
      <c r="D1938" s="7">
        <f>D224+(((D2714-D224)/13)*7)</f>
        <v>10.94230769</v>
      </c>
    </row>
    <row r="1939" ht="25.5" customHeight="1">
      <c r="A1939" s="4" t="s">
        <v>3267</v>
      </c>
      <c r="B1939" s="8"/>
      <c r="C1939" s="6" t="s">
        <v>3095</v>
      </c>
      <c r="D1939" s="12">
        <f>D1935+(((D265-D1935)/10)*5)</f>
        <v>26.38596154</v>
      </c>
    </row>
    <row r="1940" ht="25.5" customHeight="1">
      <c r="A1940" s="4" t="s">
        <v>3268</v>
      </c>
      <c r="B1940" s="8"/>
      <c r="C1940" s="6" t="s">
        <v>3269</v>
      </c>
      <c r="D1940" s="12">
        <f>D1955</f>
        <v>14.30076923</v>
      </c>
    </row>
    <row r="1941" ht="25.5" customHeight="1">
      <c r="A1941" s="4" t="s">
        <v>3270</v>
      </c>
      <c r="B1941" s="8"/>
      <c r="C1941" s="6" t="s">
        <v>3271</v>
      </c>
      <c r="D1941" s="12">
        <f>AVERAGE(D1955,D1945)</f>
        <v>13.88096154</v>
      </c>
    </row>
    <row r="1942" ht="25.5" customHeight="1">
      <c r="A1942" s="4" t="s">
        <v>3272</v>
      </c>
      <c r="B1942" s="8"/>
      <c r="C1942" s="6" t="s">
        <v>3273</v>
      </c>
      <c r="D1942" s="7">
        <f>D221+(((D2541-D221)/21)*9)</f>
        <v>3.845978022</v>
      </c>
    </row>
    <row r="1943" ht="25.5" customHeight="1">
      <c r="A1943" s="4" t="s">
        <v>3274</v>
      </c>
      <c r="B1943" s="8"/>
      <c r="C1943" s="6" t="s">
        <v>3007</v>
      </c>
      <c r="D1943" s="12">
        <f>AVERAGE(D2581,D2721)</f>
        <v>4.026413919</v>
      </c>
    </row>
    <row r="1944" ht="25.5" customHeight="1">
      <c r="A1944" s="4" t="s">
        <v>3275</v>
      </c>
      <c r="B1944" s="8"/>
      <c r="C1944" s="6" t="s">
        <v>252</v>
      </c>
      <c r="D1944" s="7">
        <f>D221+(((D2541-D221)/21)*7)</f>
        <v>3.742871795</v>
      </c>
    </row>
    <row r="1945" ht="25.5" customHeight="1">
      <c r="A1945" s="4" t="s">
        <v>3276</v>
      </c>
      <c r="B1945" s="8"/>
      <c r="C1945" s="6" t="s">
        <v>3277</v>
      </c>
      <c r="D1945" s="7">
        <f>D224+(((D2714-D224)/13)*10)</f>
        <v>13.46115385</v>
      </c>
    </row>
    <row r="1946" ht="25.5" customHeight="1">
      <c r="A1946" s="4" t="s">
        <v>3278</v>
      </c>
      <c r="B1946" s="8"/>
      <c r="C1946" s="6" t="s">
        <v>3279</v>
      </c>
      <c r="D1946" s="12">
        <f>AVERAGE(D1939,D1953,D1959,D1955)</f>
        <v>21.17405769</v>
      </c>
    </row>
    <row r="1947" ht="25.5" customHeight="1">
      <c r="A1947" s="4" t="s">
        <v>3280</v>
      </c>
      <c r="B1947" s="8"/>
      <c r="C1947" s="6" t="s">
        <v>3281</v>
      </c>
      <c r="D1947" s="7">
        <f>D221+(((D2541-D221)/21)*6)</f>
        <v>3.691318681</v>
      </c>
    </row>
    <row r="1948" ht="25.5" customHeight="1">
      <c r="A1948" s="4" t="s">
        <v>3282</v>
      </c>
      <c r="B1948" s="8"/>
      <c r="C1948" s="6" t="s">
        <v>3283</v>
      </c>
      <c r="D1948" s="12">
        <f>AVERAGE(D1957,D1943,D2677,D2774,D2528)</f>
        <v>6.901197802</v>
      </c>
    </row>
    <row r="1949" ht="25.5" customHeight="1">
      <c r="A1949" s="4" t="s">
        <v>3284</v>
      </c>
      <c r="B1949" s="8"/>
      <c r="C1949" s="6" t="s">
        <v>273</v>
      </c>
      <c r="D1949" s="12">
        <f>AVERAGE(D1945,D1965,D1963)</f>
        <v>11.29888095</v>
      </c>
    </row>
    <row r="1950" ht="25.5" customHeight="1">
      <c r="A1950" s="4" t="s">
        <v>3285</v>
      </c>
      <c r="B1950" s="8"/>
      <c r="C1950" s="6" t="s">
        <v>3286</v>
      </c>
      <c r="D1950" s="12">
        <f>AVERAGE(D1960,D1961)</f>
        <v>16.16313462</v>
      </c>
    </row>
    <row r="1951" ht="25.5" customHeight="1">
      <c r="A1951" s="4" t="s">
        <v>3287</v>
      </c>
      <c r="B1951" s="8"/>
      <c r="C1951" s="6" t="s">
        <v>3288</v>
      </c>
      <c r="D1951" s="7">
        <f>D221+(((D2541-D221)/21)*8)</f>
        <v>3.794424908</v>
      </c>
    </row>
    <row r="1952" ht="25.5" customHeight="1">
      <c r="A1952" s="4" t="s">
        <v>3289</v>
      </c>
      <c r="B1952" s="8"/>
      <c r="C1952" s="6" t="s">
        <v>3290</v>
      </c>
      <c r="D1952" s="7">
        <f>D224+(((D2714-D224)/13)*6)</f>
        <v>10.10269231</v>
      </c>
    </row>
    <row r="1953" ht="25.5" customHeight="1">
      <c r="A1953" s="4" t="s">
        <v>3291</v>
      </c>
      <c r="B1953" s="8"/>
      <c r="C1953" s="6" t="s">
        <v>3292</v>
      </c>
      <c r="D1953" s="12">
        <f>D1935+(((D265-D1935)/10)*4)</f>
        <v>23.46515385</v>
      </c>
    </row>
    <row r="1954" ht="25.5" customHeight="1">
      <c r="A1954" s="4" t="s">
        <v>3293</v>
      </c>
      <c r="B1954" s="8"/>
      <c r="C1954" s="6" t="s">
        <v>583</v>
      </c>
      <c r="D1954" s="12">
        <f>AVERAGE(D1962,D1942,D2596,D2641,D2581)</f>
        <v>4.304639011</v>
      </c>
    </row>
    <row r="1955" ht="25.5" customHeight="1">
      <c r="A1955" s="4" t="s">
        <v>3294</v>
      </c>
      <c r="B1955" s="8"/>
      <c r="C1955" s="6" t="s">
        <v>3295</v>
      </c>
      <c r="D1955" s="7">
        <f>D224+(((D2714-D224)/13)*11)</f>
        <v>14.30076923</v>
      </c>
    </row>
    <row r="1956" ht="25.5" customHeight="1">
      <c r="A1956" s="4" t="s">
        <v>3296</v>
      </c>
      <c r="B1956" s="8"/>
      <c r="C1956" s="6" t="s">
        <v>3297</v>
      </c>
      <c r="D1956" s="12">
        <f>AVERAGE(D1960,D1961,D1953)</f>
        <v>18.59714103</v>
      </c>
    </row>
    <row r="1957" ht="25.5" customHeight="1">
      <c r="A1957" s="4" t="s">
        <v>3298</v>
      </c>
      <c r="B1957" s="8"/>
      <c r="C1957" s="6" t="s">
        <v>2791</v>
      </c>
      <c r="D1957" s="12">
        <f>D1955</f>
        <v>14.30076923</v>
      </c>
    </row>
    <row r="1958" ht="25.5" customHeight="1">
      <c r="A1958" s="4" t="s">
        <v>3299</v>
      </c>
      <c r="B1958" s="8"/>
      <c r="C1958" s="6" t="s">
        <v>604</v>
      </c>
      <c r="D1958" s="12">
        <f>AVERAGE(D1960,D1952,D174)</f>
        <v>11.35616667</v>
      </c>
    </row>
    <row r="1959" ht="25.5" customHeight="1">
      <c r="A1959" s="4" t="s">
        <v>3300</v>
      </c>
      <c r="B1959" s="8"/>
      <c r="C1959" s="6" t="s">
        <v>606</v>
      </c>
      <c r="D1959" s="12">
        <f>D1935+(((D265-D1935)/10)*3)</f>
        <v>20.54434615</v>
      </c>
    </row>
    <row r="1960" ht="25.5" customHeight="1">
      <c r="A1960" s="4" t="s">
        <v>3301</v>
      </c>
      <c r="B1960" s="8"/>
      <c r="C1960" s="6" t="s">
        <v>3302</v>
      </c>
      <c r="D1960" s="12">
        <f>D1935+(((D265-D1935)/10)*1)</f>
        <v>14.70273077</v>
      </c>
    </row>
    <row r="1961" ht="25.5" customHeight="1">
      <c r="A1961" s="4" t="s">
        <v>3303</v>
      </c>
      <c r="B1961" s="8"/>
      <c r="C1961" s="6" t="s">
        <v>3304</v>
      </c>
      <c r="D1961" s="12">
        <f>D1935+(((D265-D1935)/10)*2)</f>
        <v>17.62353846</v>
      </c>
    </row>
    <row r="1962" ht="25.5" customHeight="1">
      <c r="A1962" s="4" t="s">
        <v>3305</v>
      </c>
      <c r="B1962" s="8"/>
      <c r="C1962" s="6" t="s">
        <v>468</v>
      </c>
      <c r="D1962" s="12">
        <f>D1935+(((D1942-D1935)/4)*3)</f>
        <v>5.829964286</v>
      </c>
    </row>
    <row r="1963" ht="25.5" customHeight="1">
      <c r="A1963" s="4" t="s">
        <v>3306</v>
      </c>
      <c r="B1963" s="8"/>
      <c r="C1963" s="6" t="s">
        <v>3307</v>
      </c>
      <c r="D1963" s="12">
        <f>D1935+(((D1942-D1935)/4)*2)</f>
        <v>7.813950549</v>
      </c>
    </row>
    <row r="1964" ht="25.5" customHeight="1">
      <c r="A1964" s="4" t="s">
        <v>3308</v>
      </c>
      <c r="B1964" s="8"/>
      <c r="C1964" s="6" t="s">
        <v>3309</v>
      </c>
      <c r="D1964" s="12">
        <f>AVERAGE(D1953,D1939)</f>
        <v>24.92555769</v>
      </c>
    </row>
    <row r="1965" ht="25.5" customHeight="1">
      <c r="A1965" s="4" t="s">
        <v>3310</v>
      </c>
      <c r="B1965" s="8"/>
      <c r="C1965" s="6" t="s">
        <v>3311</v>
      </c>
      <c r="D1965" s="7">
        <f>D224+(((D2714-D224)/13)*9)</f>
        <v>12.62153846</v>
      </c>
    </row>
    <row r="1966" ht="25.5" customHeight="1">
      <c r="A1966" s="4" t="s">
        <v>3312</v>
      </c>
      <c r="B1966" s="8"/>
      <c r="C1966" s="6" t="s">
        <v>326</v>
      </c>
      <c r="D1966" s="12">
        <f>AVERAGE(D283,D1939,D1955)</f>
        <v>23.33116667</v>
      </c>
    </row>
    <row r="1967" ht="25.5" customHeight="1">
      <c r="A1967" s="4" t="s">
        <v>3313</v>
      </c>
      <c r="B1967" s="11"/>
      <c r="C1967" s="6" t="s">
        <v>3314</v>
      </c>
      <c r="D1967" s="12">
        <f>D1935+(((D1942-D1935)/4)*1)</f>
        <v>9.797936813</v>
      </c>
    </row>
    <row r="1968" ht="25.5" customHeight="1">
      <c r="A1968" s="4" t="s">
        <v>3315</v>
      </c>
      <c r="B1968" s="5" t="s">
        <v>3316</v>
      </c>
      <c r="C1968" s="6" t="s">
        <v>3317</v>
      </c>
      <c r="D1968" s="12">
        <f>AVERAGE(D1978,D1983,D219)</f>
        <v>12.49769231</v>
      </c>
    </row>
    <row r="1969" ht="25.5" customHeight="1">
      <c r="A1969" s="4" t="s">
        <v>3318</v>
      </c>
      <c r="B1969" s="8"/>
      <c r="C1969" s="6" t="s">
        <v>3319</v>
      </c>
      <c r="D1969" s="7">
        <f>D222+(((D2798-D222)/13)*6)</f>
        <v>11.65538462</v>
      </c>
    </row>
    <row r="1970" ht="25.5" customHeight="1">
      <c r="A1970" s="4" t="s">
        <v>3320</v>
      </c>
      <c r="B1970" s="8"/>
      <c r="C1970" s="9" t="s">
        <v>222</v>
      </c>
      <c r="D1970" s="12">
        <v>17.65</v>
      </c>
      <c r="E1970" s="10" t="s">
        <v>3321</v>
      </c>
    </row>
    <row r="1971" ht="25.5" customHeight="1">
      <c r="A1971" s="4" t="s">
        <v>3322</v>
      </c>
      <c r="B1971" s="8"/>
      <c r="C1971" s="6" t="s">
        <v>535</v>
      </c>
      <c r="D1971" s="12">
        <f>AVERAGE(D219,D1978)</f>
        <v>12.49769231</v>
      </c>
    </row>
    <row r="1972" ht="25.5" customHeight="1">
      <c r="A1972" s="4" t="s">
        <v>3323</v>
      </c>
      <c r="B1972" s="8"/>
      <c r="C1972" s="6" t="s">
        <v>3324</v>
      </c>
      <c r="D1972" s="7">
        <f>D222+(((D2798-D222)/13)*11)</f>
        <v>10.25153846</v>
      </c>
    </row>
    <row r="1973" ht="25.5" customHeight="1">
      <c r="A1973" s="4" t="s">
        <v>3325</v>
      </c>
      <c r="B1973" s="8"/>
      <c r="C1973" s="6" t="s">
        <v>3326</v>
      </c>
      <c r="D1973" s="12">
        <f>AVERAGE(D1979,D1980,D214,D202)</f>
        <v>9.824822115</v>
      </c>
    </row>
    <row r="1974" ht="25.5" customHeight="1">
      <c r="A1974" s="4" t="s">
        <v>3327</v>
      </c>
      <c r="B1974" s="8"/>
      <c r="C1974" s="6" t="s">
        <v>3328</v>
      </c>
      <c r="D1974" s="7">
        <f>D222+(((D2798-D222)/13)*10)</f>
        <v>10.53230769</v>
      </c>
    </row>
    <row r="1975" ht="25.5" customHeight="1">
      <c r="A1975" s="4" t="s">
        <v>3329</v>
      </c>
      <c r="B1975" s="8"/>
      <c r="C1975" s="6" t="s">
        <v>392</v>
      </c>
      <c r="D1975" s="7">
        <f>D222+(((D2798-D222)/13)*8)</f>
        <v>11.09384615</v>
      </c>
    </row>
    <row r="1976" ht="25.5" customHeight="1">
      <c r="A1976" s="4" t="s">
        <v>3330</v>
      </c>
      <c r="B1976" s="8"/>
      <c r="C1976" s="6" t="s">
        <v>3331</v>
      </c>
      <c r="D1976" s="7">
        <f>D222+(((D2798-D222)/13)*9)</f>
        <v>10.81307692</v>
      </c>
    </row>
    <row r="1977" ht="25.5" customHeight="1">
      <c r="A1977" s="4" t="s">
        <v>3332</v>
      </c>
      <c r="B1977" s="8"/>
      <c r="C1977" s="6" t="s">
        <v>273</v>
      </c>
      <c r="D1977" s="12">
        <f>AVERAGE(D1970,D182,D2807,D2791,D2781,D2794)</f>
        <v>9.15534188</v>
      </c>
    </row>
    <row r="1978" ht="25.5" customHeight="1">
      <c r="A1978" s="4" t="s">
        <v>3333</v>
      </c>
      <c r="B1978" s="8"/>
      <c r="C1978" s="6" t="s">
        <v>1146</v>
      </c>
      <c r="D1978" s="7">
        <f>D222+(((D2798-D222)/13)*5)</f>
        <v>11.93615385</v>
      </c>
    </row>
    <row r="1979" ht="25.5" customHeight="1">
      <c r="A1979" s="4" t="s">
        <v>3334</v>
      </c>
      <c r="B1979" s="8"/>
      <c r="C1979" s="6" t="s">
        <v>574</v>
      </c>
      <c r="D1979" s="12">
        <f>AVERAGE(D1969,D1978)</f>
        <v>11.79576923</v>
      </c>
    </row>
    <row r="1980" ht="25.5" customHeight="1">
      <c r="A1980" s="4" t="s">
        <v>3335</v>
      </c>
      <c r="B1980" s="8"/>
      <c r="C1980" s="6" t="s">
        <v>3336</v>
      </c>
      <c r="D1980" s="12">
        <f>AVERAGE(D1970,D1974,D1976,D1969)</f>
        <v>12.66269231</v>
      </c>
    </row>
    <row r="1981" ht="25.5" customHeight="1">
      <c r="A1981" s="4" t="s">
        <v>3337</v>
      </c>
      <c r="B1981" s="8"/>
      <c r="C1981" s="6" t="s">
        <v>3338</v>
      </c>
      <c r="D1981" s="7">
        <f>D222+(((D2798-D222)/13)*7)</f>
        <v>11.37461538</v>
      </c>
    </row>
    <row r="1982" ht="25.5" customHeight="1">
      <c r="A1982" s="4" t="s">
        <v>3339</v>
      </c>
      <c r="B1982" s="8"/>
      <c r="C1982" s="6" t="s">
        <v>3340</v>
      </c>
      <c r="D1982" s="7">
        <f>D222+(((D2798-D222)/13)*4)</f>
        <v>12.21692308</v>
      </c>
    </row>
    <row r="1983" ht="25.5" customHeight="1">
      <c r="A1983" s="4" t="s">
        <v>3341</v>
      </c>
      <c r="B1983" s="8"/>
      <c r="C1983" s="6" t="s">
        <v>3342</v>
      </c>
      <c r="D1983" s="7">
        <f>D222+(((D2798-D222)/13)*3)</f>
        <v>12.49769231</v>
      </c>
    </row>
    <row r="1984" ht="25.5" customHeight="1">
      <c r="A1984" s="4" t="s">
        <v>3343</v>
      </c>
      <c r="B1984" s="11"/>
      <c r="C1984" s="6" t="s">
        <v>3344</v>
      </c>
      <c r="D1984" s="12">
        <f>AVERAGE(D1974,D1972,D2803,D2792,D2794)</f>
        <v>9.909384615</v>
      </c>
    </row>
    <row r="1985" ht="25.5" customHeight="1">
      <c r="A1985" s="4" t="s">
        <v>3345</v>
      </c>
      <c r="B1985" s="5" t="s">
        <v>3346</v>
      </c>
      <c r="C1985" s="6" t="s">
        <v>3347</v>
      </c>
      <c r="D1985" s="12">
        <f>D2946+(((D1915-D2946)/10)*5)</f>
        <v>20.295</v>
      </c>
    </row>
    <row r="1986" ht="25.5" customHeight="1">
      <c r="A1986" s="4" t="s">
        <v>3348</v>
      </c>
      <c r="B1986" s="8"/>
      <c r="C1986" s="6" t="s">
        <v>2075</v>
      </c>
      <c r="D1986" s="12">
        <f>D1991+(((D2035-D1991)/3)*2)</f>
        <v>10.19213218</v>
      </c>
    </row>
    <row r="1987" ht="25.5" customHeight="1">
      <c r="A1987" s="4" t="s">
        <v>3349</v>
      </c>
      <c r="B1987" s="8"/>
      <c r="C1987" s="6" t="s">
        <v>3350</v>
      </c>
      <c r="D1987" s="12">
        <f>D1915+(((D319-D1915)/5)*2)</f>
        <v>13.7536</v>
      </c>
    </row>
    <row r="1988" ht="25.5" customHeight="1">
      <c r="A1988" s="4" t="s">
        <v>3351</v>
      </c>
      <c r="B1988" s="8"/>
      <c r="C1988" s="6" t="s">
        <v>3352</v>
      </c>
      <c r="D1988" s="12">
        <f>D2022+(((D2269-D2022)/9)*3)</f>
        <v>4.266666667</v>
      </c>
    </row>
    <row r="1989" ht="25.5" customHeight="1">
      <c r="A1989" s="4" t="s">
        <v>3353</v>
      </c>
      <c r="B1989" s="8"/>
      <c r="C1989" s="6" t="s">
        <v>3354</v>
      </c>
      <c r="D1989" s="12">
        <f>D1991+(((D2035-D1991)/3)*1)</f>
        <v>11.4114023</v>
      </c>
    </row>
    <row r="1990" ht="25.5" customHeight="1">
      <c r="A1990" s="4" t="s">
        <v>3355</v>
      </c>
      <c r="B1990" s="8"/>
      <c r="C1990" s="6" t="s">
        <v>3356</v>
      </c>
      <c r="D1990" s="12">
        <f>AVERAGE(D2022,D2039)</f>
        <v>4.5785</v>
      </c>
    </row>
    <row r="1991" ht="25.5" customHeight="1">
      <c r="A1991" s="4" t="s">
        <v>3357</v>
      </c>
      <c r="B1991" s="8"/>
      <c r="C1991" s="6" t="s">
        <v>1595</v>
      </c>
      <c r="D1991" s="12">
        <f>D1990+(((D2064-D1990)/10)*6)</f>
        <v>12.63067241</v>
      </c>
    </row>
    <row r="1992" ht="25.5" customHeight="1">
      <c r="A1992" s="4" t="s">
        <v>3358</v>
      </c>
      <c r="B1992" s="8"/>
      <c r="C1992" s="6" t="s">
        <v>3359</v>
      </c>
      <c r="D1992" s="12">
        <f>D2039</f>
        <v>9.157</v>
      </c>
    </row>
    <row r="1993" ht="25.5" customHeight="1">
      <c r="A1993" s="4" t="s">
        <v>3360</v>
      </c>
      <c r="B1993" s="8"/>
      <c r="C1993" s="6" t="s">
        <v>3361</v>
      </c>
      <c r="D1993" s="12">
        <f>D1988+(((D2030-D1988)/5)*1)</f>
        <v>6.843240741</v>
      </c>
    </row>
    <row r="1994" ht="25.5" customHeight="1">
      <c r="A1994" s="4" t="s">
        <v>3362</v>
      </c>
      <c r="B1994" s="8"/>
      <c r="C1994" s="6" t="s">
        <v>1091</v>
      </c>
      <c r="D1994" s="12">
        <f>D2946+(((D1915-D2946)/10)*1)</f>
        <v>21.491</v>
      </c>
    </row>
    <row r="1995" ht="25.5" customHeight="1">
      <c r="A1995" s="4" t="s">
        <v>3363</v>
      </c>
      <c r="B1995" s="8"/>
      <c r="C1995" s="6" t="s">
        <v>228</v>
      </c>
      <c r="D1995" s="12">
        <f>D1985+(((D1187-D1985)/4)*2)</f>
        <v>19.77387698</v>
      </c>
    </row>
    <row r="1996" ht="25.5" customHeight="1">
      <c r="A1996" s="4" t="s">
        <v>3364</v>
      </c>
      <c r="B1996" s="8"/>
      <c r="C1996" s="6" t="s">
        <v>3365</v>
      </c>
      <c r="D1996" s="12">
        <f>D2022+(((D2269-D2022)/9)*2)</f>
        <v>2.844444444</v>
      </c>
    </row>
    <row r="1997" ht="25.5" customHeight="1">
      <c r="A1997" s="4" t="s">
        <v>3366</v>
      </c>
      <c r="B1997" s="8"/>
      <c r="C1997" s="6" t="s">
        <v>1098</v>
      </c>
      <c r="D1997" s="12">
        <f>D1988+(((D2030-D1988)/5)*2)</f>
        <v>9.419814815</v>
      </c>
    </row>
    <row r="1998" ht="25.5" customHeight="1">
      <c r="A1998" s="4" t="s">
        <v>3367</v>
      </c>
      <c r="B1998" s="8"/>
      <c r="C1998" s="6" t="s">
        <v>3368</v>
      </c>
      <c r="D1998" s="12">
        <f>D2040+(((D315-D2040)/3)*1)</f>
        <v>20.38667302</v>
      </c>
    </row>
    <row r="1999" ht="25.5" customHeight="1">
      <c r="A1999" s="4" t="s">
        <v>3369</v>
      </c>
      <c r="B1999" s="8"/>
      <c r="C1999" s="6" t="s">
        <v>3370</v>
      </c>
      <c r="D1999" s="12">
        <f>D1990+(((D2064-D1990)/10)*5)</f>
        <v>11.28864368</v>
      </c>
    </row>
    <row r="2000" ht="25.5" customHeight="1">
      <c r="A2000" s="4" t="s">
        <v>3371</v>
      </c>
      <c r="B2000" s="8"/>
      <c r="C2000" s="6" t="s">
        <v>2054</v>
      </c>
      <c r="D2000" s="12">
        <f>D2946+(((D1915-D2946)/10)*2)</f>
        <v>21.192</v>
      </c>
    </row>
    <row r="2001" ht="25.5" customHeight="1">
      <c r="A2001" s="4" t="s">
        <v>3372</v>
      </c>
      <c r="B2001" s="8"/>
      <c r="C2001" s="6" t="s">
        <v>126</v>
      </c>
      <c r="D2001" s="12">
        <f>AVERAGE(D2034,D2005,D2000,D1994)</f>
        <v>16.89252816</v>
      </c>
    </row>
    <row r="2002" ht="25.5" customHeight="1">
      <c r="A2002" s="4" t="s">
        <v>3373</v>
      </c>
      <c r="B2002" s="8"/>
      <c r="C2002" s="6" t="s">
        <v>248</v>
      </c>
      <c r="D2002" s="12">
        <f>AVERAGE(D2006,D2013,D2029)</f>
        <v>15.1522284</v>
      </c>
    </row>
    <row r="2003" ht="25.5" customHeight="1">
      <c r="A2003" s="4" t="s">
        <v>3374</v>
      </c>
      <c r="B2003" s="8"/>
      <c r="C2003" s="6" t="s">
        <v>2187</v>
      </c>
      <c r="D2003" s="12">
        <f>D1990+(((D2064-D1990)/10)*4)</f>
        <v>9.946614943</v>
      </c>
    </row>
    <row r="2004" ht="25.5" customHeight="1">
      <c r="A2004" s="4" t="s">
        <v>3375</v>
      </c>
      <c r="B2004" s="8"/>
      <c r="C2004" s="6" t="s">
        <v>130</v>
      </c>
      <c r="D2004" s="12">
        <f>D2946+(((D1915-D2946)/10)*6)</f>
        <v>19.996</v>
      </c>
    </row>
    <row r="2005" ht="25.5" customHeight="1">
      <c r="A2005" s="4" t="s">
        <v>3376</v>
      </c>
      <c r="B2005" s="8"/>
      <c r="C2005" s="6" t="s">
        <v>689</v>
      </c>
      <c r="D2005" s="12">
        <f>AVERAGE(D2006,D2002,D2029,D2041,D2000)</f>
        <v>17.7379679</v>
      </c>
    </row>
    <row r="2006" ht="25.5" customHeight="1">
      <c r="A2006" s="4" t="s">
        <v>3377</v>
      </c>
      <c r="B2006" s="8"/>
      <c r="C2006" s="6" t="s">
        <v>3378</v>
      </c>
      <c r="D2006" s="12">
        <f>D2018+(((D1985-D2018)/6)*3)</f>
        <v>10.85861111</v>
      </c>
    </row>
    <row r="2007" ht="25.5" customHeight="1">
      <c r="A2007" s="4" t="s">
        <v>3379</v>
      </c>
      <c r="B2007" s="8"/>
      <c r="C2007" s="6" t="s">
        <v>140</v>
      </c>
      <c r="D2007" s="12">
        <f>D2022</f>
        <v>0</v>
      </c>
    </row>
    <row r="2008" ht="25.5" customHeight="1">
      <c r="A2008" s="4" t="s">
        <v>3380</v>
      </c>
      <c r="B2008" s="8"/>
      <c r="C2008" s="6" t="s">
        <v>400</v>
      </c>
      <c r="D2008" s="12">
        <f>D2027</f>
        <v>14.49833333</v>
      </c>
    </row>
    <row r="2009" ht="25.5" customHeight="1">
      <c r="A2009" s="4" t="s">
        <v>3381</v>
      </c>
      <c r="B2009" s="8"/>
      <c r="C2009" s="6" t="s">
        <v>1265</v>
      </c>
      <c r="D2009" s="12">
        <f>D2022</f>
        <v>0</v>
      </c>
    </row>
    <row r="2010" ht="25.5" customHeight="1">
      <c r="A2010" s="4" t="s">
        <v>3382</v>
      </c>
      <c r="B2010" s="8"/>
      <c r="C2010" s="6" t="s">
        <v>1369</v>
      </c>
      <c r="D2010" s="12">
        <f>D2012+(((D1992-D2012)/3)*1)</f>
        <v>8.788724138</v>
      </c>
    </row>
    <row r="2011" ht="25.5" customHeight="1">
      <c r="A2011" s="4" t="s">
        <v>3383</v>
      </c>
      <c r="B2011" s="8"/>
      <c r="C2011" s="6" t="s">
        <v>157</v>
      </c>
      <c r="D2011" s="12">
        <f>D2018+(((D1985-D2018)/6)*1)</f>
        <v>4.567685185</v>
      </c>
    </row>
    <row r="2012" ht="25.5" customHeight="1">
      <c r="A2012" s="4" t="s">
        <v>3384</v>
      </c>
      <c r="B2012" s="8"/>
      <c r="C2012" s="6" t="s">
        <v>167</v>
      </c>
      <c r="D2012" s="12">
        <f>D1990+(((D2064-D1990)/10)*3)</f>
        <v>8.604586207</v>
      </c>
    </row>
    <row r="2013" ht="25.5" customHeight="1">
      <c r="A2013" s="4" t="s">
        <v>3385</v>
      </c>
      <c r="B2013" s="8"/>
      <c r="C2013" s="6" t="s">
        <v>169</v>
      </c>
      <c r="D2013" s="12">
        <f>D2018+(((D1985-D2018)/6)*4)</f>
        <v>14.00407407</v>
      </c>
    </row>
    <row r="2014" ht="25.5" customHeight="1">
      <c r="A2014" s="4" t="s">
        <v>3386</v>
      </c>
      <c r="B2014" s="8"/>
      <c r="C2014" s="6" t="s">
        <v>727</v>
      </c>
      <c r="D2014" s="12">
        <f>D2025</f>
        <v>18.8</v>
      </c>
    </row>
    <row r="2015" ht="25.5" customHeight="1">
      <c r="A2015" s="4" t="s">
        <v>3387</v>
      </c>
      <c r="B2015" s="8"/>
      <c r="C2015" s="6" t="s">
        <v>3388</v>
      </c>
      <c r="D2015" s="12">
        <f>D1915+(((D319-D1915)/5)*1)</f>
        <v>16.2768</v>
      </c>
    </row>
    <row r="2016" ht="25.5" customHeight="1">
      <c r="A2016" s="4" t="s">
        <v>3389</v>
      </c>
      <c r="B2016" s="8"/>
      <c r="C2016" s="6" t="s">
        <v>3390</v>
      </c>
      <c r="D2016" s="12">
        <f>D1999</f>
        <v>11.28864368</v>
      </c>
    </row>
    <row r="2017" ht="25.5" customHeight="1">
      <c r="A2017" s="4" t="s">
        <v>3391</v>
      </c>
      <c r="B2017" s="8"/>
      <c r="C2017" s="6" t="s">
        <v>1273</v>
      </c>
      <c r="D2017" s="12">
        <f>D2018+(((D1985-D2018)/6)*2)</f>
        <v>7.713148148</v>
      </c>
    </row>
    <row r="2018" ht="25.5" customHeight="1">
      <c r="A2018" s="4" t="s">
        <v>3392</v>
      </c>
      <c r="B2018" s="8"/>
      <c r="C2018" s="6" t="s">
        <v>3393</v>
      </c>
      <c r="D2018" s="12">
        <f>D2022+(((D2269-D2022)/9)*1)</f>
        <v>1.422222222</v>
      </c>
    </row>
    <row r="2019" ht="25.5" customHeight="1">
      <c r="A2019" s="4" t="s">
        <v>3394</v>
      </c>
      <c r="B2019" s="8"/>
      <c r="C2019" s="6" t="s">
        <v>444</v>
      </c>
      <c r="D2019" s="12">
        <f>D1990+(((D2064-D1990)/10)*2)</f>
        <v>7.262557471</v>
      </c>
    </row>
    <row r="2020" ht="25.5" customHeight="1">
      <c r="A2020" s="4" t="s">
        <v>3395</v>
      </c>
      <c r="B2020" s="8"/>
      <c r="C2020" s="6" t="s">
        <v>430</v>
      </c>
      <c r="D2020" s="12">
        <f>D2946+(((D1915-D2946)/10)*8)</f>
        <v>19.398</v>
      </c>
    </row>
    <row r="2021" ht="25.5" customHeight="1">
      <c r="A2021" s="4" t="s">
        <v>3396</v>
      </c>
      <c r="B2021" s="8"/>
      <c r="C2021" s="6" t="s">
        <v>1992</v>
      </c>
      <c r="D2021" s="12">
        <f>AVERAGE(D2016,D2003,D2012)</f>
        <v>9.946614943</v>
      </c>
    </row>
    <row r="2022" ht="25.5" customHeight="1">
      <c r="A2022" s="4" t="s">
        <v>3397</v>
      </c>
      <c r="B2022" s="8"/>
      <c r="C2022" s="9" t="s">
        <v>3398</v>
      </c>
      <c r="D2022" s="12">
        <v>0.0</v>
      </c>
      <c r="E2022" s="10" t="s">
        <v>3398</v>
      </c>
    </row>
    <row r="2023" ht="25.5" customHeight="1">
      <c r="A2023" s="4" t="s">
        <v>3399</v>
      </c>
      <c r="B2023" s="8"/>
      <c r="C2023" s="6" t="s">
        <v>2271</v>
      </c>
      <c r="D2023" s="12">
        <f>D1988+(((D2030-D1988)/5)*3)</f>
        <v>11.99638889</v>
      </c>
    </row>
    <row r="2024" ht="25.5" customHeight="1">
      <c r="A2024" s="4" t="s">
        <v>3400</v>
      </c>
      <c r="B2024" s="8"/>
      <c r="C2024" s="6" t="s">
        <v>745</v>
      </c>
      <c r="D2024" s="12">
        <f>AVERAGE(D2020,D2044,D313)</f>
        <v>13.11186667</v>
      </c>
    </row>
    <row r="2025" ht="25.5" customHeight="1">
      <c r="A2025" s="4" t="s">
        <v>3401</v>
      </c>
      <c r="B2025" s="8"/>
      <c r="C2025" s="6" t="s">
        <v>3402</v>
      </c>
      <c r="D2025" s="12">
        <f>D1922</f>
        <v>18.8</v>
      </c>
    </row>
    <row r="2026" ht="25.5" customHeight="1">
      <c r="A2026" s="4" t="s">
        <v>3403</v>
      </c>
      <c r="B2026" s="8"/>
      <c r="C2026" s="6" t="s">
        <v>3404</v>
      </c>
      <c r="D2026" s="12">
        <f>D1985+(((D1187-D1985)/4)*1)</f>
        <v>20.03443849</v>
      </c>
    </row>
    <row r="2027" ht="25.5" customHeight="1">
      <c r="A2027" s="4" t="s">
        <v>3405</v>
      </c>
      <c r="B2027" s="8"/>
      <c r="C2027" s="6" t="s">
        <v>975</v>
      </c>
      <c r="D2027" s="12">
        <f>AVERAGE(D1933,D1925)</f>
        <v>14.49833333</v>
      </c>
    </row>
    <row r="2028" ht="25.5" customHeight="1">
      <c r="A2028" s="4" t="s">
        <v>3406</v>
      </c>
      <c r="B2028" s="8"/>
      <c r="C2028" s="6" t="s">
        <v>3407</v>
      </c>
      <c r="D2028" s="12">
        <f>D2946+(((D1915-D2946)/10)*9)</f>
        <v>19.099</v>
      </c>
    </row>
    <row r="2029" ht="25.5" customHeight="1">
      <c r="A2029" s="4" t="s">
        <v>3408</v>
      </c>
      <c r="B2029" s="8"/>
      <c r="C2029" s="6" t="s">
        <v>3409</v>
      </c>
      <c r="D2029" s="12">
        <f>D2946+(((D1915-D2946)/10)*4)</f>
        <v>20.594</v>
      </c>
    </row>
    <row r="2030" ht="25.5" customHeight="1">
      <c r="A2030" s="4" t="s">
        <v>3410</v>
      </c>
      <c r="B2030" s="8"/>
      <c r="C2030" s="6" t="s">
        <v>3411</v>
      </c>
      <c r="D2030" s="12">
        <f>D2018+(((D1985-D2018)/6)*5)</f>
        <v>17.14953704</v>
      </c>
    </row>
    <row r="2031" ht="25.5" customHeight="1">
      <c r="A2031" s="4" t="s">
        <v>3412</v>
      </c>
      <c r="B2031" s="8"/>
      <c r="C2031" s="6" t="s">
        <v>3413</v>
      </c>
      <c r="D2031" s="12">
        <f>D1988+(((D2030-D1988)/5)*4)</f>
        <v>14.57296296</v>
      </c>
    </row>
    <row r="2032" ht="25.5" customHeight="1">
      <c r="A2032" s="4" t="s">
        <v>3414</v>
      </c>
      <c r="B2032" s="8"/>
      <c r="C2032" s="6" t="s">
        <v>1414</v>
      </c>
      <c r="D2032" s="12">
        <f>AVERAGE(D2039,D1992,D2035,D2033)</f>
        <v>8.301847701</v>
      </c>
    </row>
    <row r="2033" ht="25.5" customHeight="1">
      <c r="A2033" s="4" t="s">
        <v>3415</v>
      </c>
      <c r="B2033" s="8"/>
      <c r="C2033" s="6" t="s">
        <v>3416</v>
      </c>
      <c r="D2033" s="12">
        <f>D1990+(((D2064-D1990)/10)*1)</f>
        <v>5.920528736</v>
      </c>
    </row>
    <row r="2034" ht="25.5" customHeight="1">
      <c r="A2034" s="4" t="s">
        <v>3417</v>
      </c>
      <c r="B2034" s="8"/>
      <c r="C2034" s="6" t="s">
        <v>3418</v>
      </c>
      <c r="D2034" s="12">
        <f>AVERAGE(D2007,D2009,D2006,D2005)</f>
        <v>7.149144753</v>
      </c>
    </row>
    <row r="2035" ht="25.5" customHeight="1">
      <c r="A2035" s="4" t="s">
        <v>3419</v>
      </c>
      <c r="B2035" s="8"/>
      <c r="C2035" s="6" t="s">
        <v>1551</v>
      </c>
      <c r="D2035" s="12">
        <f>D2012+(((D1992-D2012)/3)*2)</f>
        <v>8.972862069</v>
      </c>
    </row>
    <row r="2036" ht="25.5" customHeight="1">
      <c r="A2036" s="4" t="s">
        <v>3420</v>
      </c>
      <c r="B2036" s="8"/>
      <c r="C2036" s="6" t="s">
        <v>2069</v>
      </c>
      <c r="D2036" s="12">
        <f>D2014</f>
        <v>18.8</v>
      </c>
    </row>
    <row r="2037" ht="25.5" customHeight="1">
      <c r="A2037" s="4" t="s">
        <v>3421</v>
      </c>
      <c r="B2037" s="8"/>
      <c r="C2037" s="6" t="s">
        <v>1553</v>
      </c>
      <c r="D2037" s="12">
        <f>AVERAGE(D1997,D2040,D2020,D2299,D2311)</f>
        <v>15.00478519</v>
      </c>
    </row>
    <row r="2038" ht="25.5" customHeight="1">
      <c r="A2038" s="4" t="s">
        <v>3422</v>
      </c>
      <c r="B2038" s="8"/>
      <c r="C2038" s="6" t="s">
        <v>3423</v>
      </c>
      <c r="D2038" s="12">
        <f>AVERAGE(D1988,D1996,D1992,D2039)</f>
        <v>6.356277778</v>
      </c>
    </row>
    <row r="2039" ht="25.5" customHeight="1">
      <c r="A2039" s="4" t="s">
        <v>3424</v>
      </c>
      <c r="B2039" s="8"/>
      <c r="C2039" s="9" t="s">
        <v>3425</v>
      </c>
      <c r="D2039" s="12">
        <v>9.157</v>
      </c>
      <c r="E2039" s="10" t="s">
        <v>3426</v>
      </c>
    </row>
    <row r="2040" ht="25.5" customHeight="1">
      <c r="A2040" s="4" t="s">
        <v>3427</v>
      </c>
      <c r="B2040" s="8"/>
      <c r="C2040" s="6" t="s">
        <v>3428</v>
      </c>
      <c r="D2040" s="12">
        <f>D2946+(((D1915-D2946)/10)*7)</f>
        <v>19.697</v>
      </c>
    </row>
    <row r="2041" ht="25.5" customHeight="1">
      <c r="A2041" s="4" t="s">
        <v>3429</v>
      </c>
      <c r="B2041" s="8"/>
      <c r="C2041" s="6" t="s">
        <v>1025</v>
      </c>
      <c r="D2041" s="12">
        <f>D2946+(((D1915-D2946)/10)*3)</f>
        <v>20.893</v>
      </c>
    </row>
    <row r="2042" ht="25.5" customHeight="1">
      <c r="A2042" s="4" t="s">
        <v>3430</v>
      </c>
      <c r="B2042" s="8"/>
      <c r="C2042" s="6" t="s">
        <v>197</v>
      </c>
      <c r="D2042" s="12">
        <f>AVERAGE(D2029,D2041)+(((D2955-AVERAGE(D2029,D2041))/3)*1)</f>
        <v>16.89556455</v>
      </c>
    </row>
    <row r="2043" ht="25.5" customHeight="1">
      <c r="A2043" s="4" t="s">
        <v>3431</v>
      </c>
      <c r="B2043" s="8"/>
      <c r="C2043" s="6" t="s">
        <v>1028</v>
      </c>
      <c r="D2043" s="12">
        <f>AVERAGE(D2012,D2019,D2033,D1990)</f>
        <v>6.591543103</v>
      </c>
    </row>
    <row r="2044" ht="25.5" customHeight="1">
      <c r="A2044" s="4" t="s">
        <v>3432</v>
      </c>
      <c r="B2044" s="8"/>
      <c r="C2044" s="6" t="s">
        <v>3433</v>
      </c>
      <c r="D2044" s="12">
        <f>D1915+(((D319-D1915)/5)*3)</f>
        <v>11.2304</v>
      </c>
    </row>
    <row r="2045" ht="25.5" customHeight="1">
      <c r="A2045" s="4" t="s">
        <v>3434</v>
      </c>
      <c r="B2045" s="8"/>
      <c r="C2045" s="6" t="s">
        <v>3435</v>
      </c>
      <c r="D2045" s="12">
        <f>AVERAGE(D1986,D1989,D1999,D2003,D2010)</f>
        <v>10.32550345</v>
      </c>
    </row>
    <row r="2046" ht="25.5" customHeight="1">
      <c r="A2046" s="4" t="s">
        <v>3436</v>
      </c>
      <c r="B2046" s="11"/>
      <c r="C2046" s="6" t="s">
        <v>3437</v>
      </c>
      <c r="D2046" s="12">
        <f>AVERAGE(D2035,D2019,D2033)</f>
        <v>7.385316092</v>
      </c>
    </row>
    <row r="2047" ht="25.5" customHeight="1">
      <c r="A2047" s="4" t="s">
        <v>3438</v>
      </c>
      <c r="B2047" s="5" t="s">
        <v>3439</v>
      </c>
      <c r="C2047" s="6" t="s">
        <v>499</v>
      </c>
      <c r="D2047" s="12">
        <f>AVERAGE(D2082,D2054,D1064)</f>
        <v>7.473360867</v>
      </c>
    </row>
    <row r="2048" ht="25.5" customHeight="1">
      <c r="A2048" s="4" t="s">
        <v>3440</v>
      </c>
      <c r="B2048" s="8"/>
      <c r="C2048" s="6" t="s">
        <v>1445</v>
      </c>
      <c r="D2048" s="12">
        <f>D1316+(((D2464-D1316)/29)*5)</f>
        <v>4.313206897</v>
      </c>
    </row>
    <row r="2049" ht="25.5" customHeight="1">
      <c r="A2049" s="4" t="s">
        <v>3441</v>
      </c>
      <c r="B2049" s="8"/>
      <c r="C2049" s="6" t="s">
        <v>3442</v>
      </c>
      <c r="D2049" s="12">
        <f>D2123+(((D2129-D2123)/11)*3)</f>
        <v>16.43938558</v>
      </c>
    </row>
    <row r="2050" ht="25.5" customHeight="1">
      <c r="A2050" s="4" t="s">
        <v>3443</v>
      </c>
      <c r="B2050" s="8"/>
      <c r="C2050" s="6" t="s">
        <v>3444</v>
      </c>
      <c r="D2050" s="12">
        <f>D1990+(((D2064-D1990)/10)*8)</f>
        <v>15.31472989</v>
      </c>
    </row>
    <row r="2051" ht="25.5" customHeight="1">
      <c r="A2051" s="4" t="s">
        <v>3445</v>
      </c>
      <c r="B2051" s="8"/>
      <c r="C2051" s="6" t="s">
        <v>3446</v>
      </c>
      <c r="D2051" s="12">
        <f>AVERAGE(D3121,D2130)</f>
        <v>16.55785441</v>
      </c>
    </row>
    <row r="2052" ht="25.5" customHeight="1">
      <c r="A2052" s="4" t="s">
        <v>3447</v>
      </c>
      <c r="B2052" s="8"/>
      <c r="C2052" s="6" t="s">
        <v>3448</v>
      </c>
      <c r="D2052" s="12">
        <f>D1316+(((D2464-D1316)/29)*6)</f>
        <v>4.423448276</v>
      </c>
    </row>
    <row r="2053" ht="25.5" customHeight="1">
      <c r="A2053" s="4" t="s">
        <v>3449</v>
      </c>
      <c r="B2053" s="8"/>
      <c r="C2053" s="6" t="s">
        <v>3450</v>
      </c>
      <c r="D2053" s="12">
        <f>AVERAGE(D2076,D3102)</f>
        <v>11.64250575</v>
      </c>
    </row>
    <row r="2054" ht="25.5" customHeight="1">
      <c r="A2054" s="4" t="s">
        <v>3451</v>
      </c>
      <c r="B2054" s="8"/>
      <c r="C2054" s="6" t="s">
        <v>1297</v>
      </c>
      <c r="D2054" s="12">
        <f>AVERAGE(D2060,D2059)</f>
        <v>5.698090909</v>
      </c>
    </row>
    <row r="2055" ht="25.5" customHeight="1">
      <c r="A2055" s="4" t="s">
        <v>3452</v>
      </c>
      <c r="B2055" s="8"/>
      <c r="C2055" s="6" t="s">
        <v>80</v>
      </c>
      <c r="D2055" s="12">
        <f>D1316+(((D2464-D1316)/29)*11)</f>
        <v>4.974655172</v>
      </c>
    </row>
    <row r="2056" ht="25.5" customHeight="1">
      <c r="A2056" s="4" t="s">
        <v>3453</v>
      </c>
      <c r="B2056" s="8"/>
      <c r="C2056" s="6" t="s">
        <v>218</v>
      </c>
      <c r="D2056" s="12">
        <f>AVERAGE(D2122,D2125)</f>
        <v>19.62850575</v>
      </c>
    </row>
    <row r="2057" ht="25.5" customHeight="1">
      <c r="A2057" s="4" t="s">
        <v>3454</v>
      </c>
      <c r="B2057" s="8"/>
      <c r="C2057" s="6" t="s">
        <v>1304</v>
      </c>
      <c r="D2057" s="12">
        <f>AVERAGE(D2121,D2101,D2058,D2095)</f>
        <v>6.514531152</v>
      </c>
    </row>
    <row r="2058" ht="25.5" customHeight="1">
      <c r="A2058" s="4" t="s">
        <v>3455</v>
      </c>
      <c r="B2058" s="8"/>
      <c r="C2058" s="6" t="s">
        <v>222</v>
      </c>
      <c r="D2058" s="12">
        <f>D2103+(((D2071-D2103)/4)*2)</f>
        <v>7.70303605</v>
      </c>
    </row>
    <row r="2059" ht="25.5" customHeight="1">
      <c r="A2059" s="4" t="s">
        <v>3456</v>
      </c>
      <c r="B2059" s="8"/>
      <c r="C2059" s="6" t="s">
        <v>3457</v>
      </c>
      <c r="D2059" s="12">
        <f>D2077</f>
        <v>5.084896552</v>
      </c>
    </row>
    <row r="2060" ht="25.5" customHeight="1">
      <c r="A2060" s="4" t="s">
        <v>3458</v>
      </c>
      <c r="B2060" s="8"/>
      <c r="C2060" s="6" t="s">
        <v>1091</v>
      </c>
      <c r="D2060" s="12">
        <f>D2123+(((D2129-D2123)/11)*10)</f>
        <v>6.311285266</v>
      </c>
    </row>
    <row r="2061" ht="25.5" customHeight="1">
      <c r="A2061" s="4" t="s">
        <v>3459</v>
      </c>
      <c r="B2061" s="8"/>
      <c r="C2061" s="6" t="s">
        <v>3460</v>
      </c>
      <c r="D2061" s="12">
        <f>AVERAGE(D2122,D2096,D2284,D2251)</f>
        <v>62.82576258</v>
      </c>
    </row>
    <row r="2062" ht="25.5" customHeight="1">
      <c r="A2062" s="4" t="s">
        <v>3461</v>
      </c>
      <c r="B2062" s="8"/>
      <c r="C2062" s="6" t="s">
        <v>3462</v>
      </c>
      <c r="D2062" s="12">
        <f>AVERAGE(D2125,D2076,D2106)</f>
        <v>17.86344224</v>
      </c>
    </row>
    <row r="2063" ht="25.5" customHeight="1">
      <c r="A2063" s="4" t="s">
        <v>3463</v>
      </c>
      <c r="B2063" s="8"/>
      <c r="C2063" s="6" t="s">
        <v>234</v>
      </c>
      <c r="D2063" s="12">
        <f>AVERAGE(D2105,D2116)</f>
        <v>14.26907837</v>
      </c>
    </row>
    <row r="2064" ht="25.5" customHeight="1">
      <c r="A2064" s="4" t="s">
        <v>3464</v>
      </c>
      <c r="B2064" s="8"/>
      <c r="C2064" s="6" t="s">
        <v>3465</v>
      </c>
      <c r="D2064" s="12">
        <f>D2133+(((D2123-D2133)/6)*5)</f>
        <v>17.99878736</v>
      </c>
    </row>
    <row r="2065" ht="25.5" customHeight="1">
      <c r="A2065" s="4" t="s">
        <v>3466</v>
      </c>
      <c r="B2065" s="8"/>
      <c r="C2065" s="6" t="s">
        <v>3467</v>
      </c>
      <c r="D2065" s="12">
        <f>AVERAGE(D888,D2114,D2103,D2101,D2121)</f>
        <v>5.158046897</v>
      </c>
    </row>
    <row r="2066" ht="25.5" customHeight="1">
      <c r="A2066" s="4" t="s">
        <v>3468</v>
      </c>
      <c r="B2066" s="8"/>
      <c r="C2066" s="6" t="s">
        <v>3469</v>
      </c>
      <c r="D2066" s="12">
        <f>AVERAGE(D2132,D816)</f>
        <v>7.152944096</v>
      </c>
    </row>
    <row r="2067" ht="25.5" customHeight="1">
      <c r="A2067" s="4" t="s">
        <v>3470</v>
      </c>
      <c r="B2067" s="8"/>
      <c r="C2067" s="6" t="s">
        <v>1098</v>
      </c>
      <c r="D2067" s="12">
        <f>D2123+(((D2129-D2123)/11)*6)</f>
        <v>12.09877116</v>
      </c>
    </row>
    <row r="2068" ht="25.5" customHeight="1">
      <c r="A2068" s="4" t="s">
        <v>3471</v>
      </c>
      <c r="B2068" s="8"/>
      <c r="C2068" s="6" t="s">
        <v>3370</v>
      </c>
      <c r="D2068" s="12">
        <f>D2133+(((D2123-D2133)/6)*3)</f>
        <v>12.43636207</v>
      </c>
    </row>
    <row r="2069" ht="25.5" customHeight="1">
      <c r="A2069" s="4" t="s">
        <v>3472</v>
      </c>
      <c r="B2069" s="8"/>
      <c r="C2069" s="6" t="s">
        <v>3473</v>
      </c>
      <c r="D2069" s="12">
        <f>AVERAGE(D2091,D2071,D2111)</f>
        <v>11.03906606</v>
      </c>
    </row>
    <row r="2070" ht="25.5" customHeight="1">
      <c r="A2070" s="4" t="s">
        <v>3474</v>
      </c>
      <c r="B2070" s="8"/>
      <c r="C2070" s="6" t="s">
        <v>124</v>
      </c>
      <c r="D2070" s="12">
        <f>D2123+(((D2129-D2123)/11)*9)</f>
        <v>7.75815674</v>
      </c>
    </row>
    <row r="2071" ht="25.5" customHeight="1">
      <c r="A2071" s="4" t="s">
        <v>3475</v>
      </c>
      <c r="B2071" s="8"/>
      <c r="C2071" s="6" t="s">
        <v>126</v>
      </c>
      <c r="D2071" s="12">
        <f>D2123+(((D2129-D2123)/11)*7)</f>
        <v>10.65189969</v>
      </c>
    </row>
    <row r="2072" ht="25.5" customHeight="1">
      <c r="A2072" s="4" t="s">
        <v>3476</v>
      </c>
      <c r="B2072" s="8"/>
      <c r="C2072" s="6" t="s">
        <v>248</v>
      </c>
      <c r="D2072" s="12">
        <f>D875+(((D2094-D875)/3)*2)</f>
        <v>5.226776385</v>
      </c>
    </row>
    <row r="2073" ht="25.5" customHeight="1">
      <c r="A2073" s="4" t="s">
        <v>3477</v>
      </c>
      <c r="B2073" s="8"/>
      <c r="C2073" s="6" t="s">
        <v>3478</v>
      </c>
      <c r="D2073" s="12">
        <f>AVERAGE(D2090,D3093,D2099)</f>
        <v>13.90747876</v>
      </c>
    </row>
    <row r="2074" ht="25.5" customHeight="1">
      <c r="A2074" s="4" t="s">
        <v>3479</v>
      </c>
      <c r="B2074" s="8"/>
      <c r="C2074" s="6" t="s">
        <v>3480</v>
      </c>
      <c r="D2074" s="12">
        <f>AVERAGE(D2089,D2050,D2124,D2113,D2064)</f>
        <v>41.31305517</v>
      </c>
    </row>
    <row r="2075" ht="25.5" customHeight="1">
      <c r="A2075" s="4" t="s">
        <v>3481</v>
      </c>
      <c r="B2075" s="8"/>
      <c r="C2075" s="6" t="s">
        <v>130</v>
      </c>
      <c r="D2075" s="12">
        <f>D2103+(((D2071-D2103)/4)*1)</f>
        <v>6.228604232</v>
      </c>
    </row>
    <row r="2076" ht="25.5" customHeight="1">
      <c r="A2076" s="4" t="s">
        <v>3482</v>
      </c>
      <c r="B2076" s="8"/>
      <c r="C2076" s="6" t="s">
        <v>3483</v>
      </c>
      <c r="D2076" s="12">
        <f>D2123+(((D1717-D2123)/18)*3)</f>
        <v>18.47701149</v>
      </c>
    </row>
    <row r="2077" ht="25.5" customHeight="1">
      <c r="A2077" s="4" t="s">
        <v>3484</v>
      </c>
      <c r="B2077" s="8"/>
      <c r="C2077" s="6" t="s">
        <v>689</v>
      </c>
      <c r="D2077" s="12">
        <f>D1316+(((D2464-D1316)/29)*12)</f>
        <v>5.084896552</v>
      </c>
    </row>
    <row r="2078" ht="25.5" customHeight="1">
      <c r="A2078" s="4" t="s">
        <v>3485</v>
      </c>
      <c r="B2078" s="8"/>
      <c r="C2078" s="6" t="s">
        <v>896</v>
      </c>
      <c r="D2078" s="12">
        <f>D1316+(((D2464-D1316)/29)*4)</f>
        <v>4.202965517</v>
      </c>
    </row>
    <row r="2079" ht="25.5" customHeight="1">
      <c r="A2079" s="4" t="s">
        <v>3486</v>
      </c>
      <c r="B2079" s="8"/>
      <c r="C2079" s="6" t="s">
        <v>1119</v>
      </c>
      <c r="D2079" s="12">
        <f>AVERAGE(D2078,D2048,D2052)</f>
        <v>4.313206897</v>
      </c>
    </row>
    <row r="2080" ht="25.5" customHeight="1">
      <c r="A2080" s="4" t="s">
        <v>3487</v>
      </c>
      <c r="B2080" s="8"/>
      <c r="C2080" s="6" t="s">
        <v>213</v>
      </c>
      <c r="D2080" s="12">
        <f>AVERAGE(D2125,D2076,D2053)</f>
        <v>16.45473052</v>
      </c>
    </row>
    <row r="2081" ht="25.5" customHeight="1">
      <c r="A2081" s="4" t="s">
        <v>3488</v>
      </c>
      <c r="B2081" s="8"/>
      <c r="C2081" s="6" t="s">
        <v>134</v>
      </c>
      <c r="D2081" s="12">
        <f>AVERAGE(D2072,D2094,D2133)</f>
        <v>4.433994427</v>
      </c>
    </row>
    <row r="2082" ht="25.5" customHeight="1">
      <c r="A2082" s="4" t="s">
        <v>3489</v>
      </c>
      <c r="B2082" s="8"/>
      <c r="C2082" s="6" t="s">
        <v>3490</v>
      </c>
      <c r="D2082" s="12">
        <f>AVERAGE(D2070,D2060)</f>
        <v>7.034721003</v>
      </c>
    </row>
    <row r="2083" ht="25.5" customHeight="1">
      <c r="A2083" s="4" t="s">
        <v>3491</v>
      </c>
      <c r="B2083" s="8"/>
      <c r="C2083" s="6" t="s">
        <v>3492</v>
      </c>
      <c r="D2083" s="12">
        <f>D2111</f>
        <v>9.205028213</v>
      </c>
    </row>
    <row r="2084" ht="25.5" customHeight="1">
      <c r="A2084" s="4" t="s">
        <v>3493</v>
      </c>
      <c r="B2084" s="8"/>
      <c r="C2084" s="6" t="s">
        <v>701</v>
      </c>
      <c r="D2084" s="12">
        <f>AVERAGE(D2049,D2131,D2125)</f>
        <v>17.85677232</v>
      </c>
    </row>
    <row r="2085" ht="25.5" customHeight="1">
      <c r="A2085" s="4" t="s">
        <v>3494</v>
      </c>
      <c r="B2085" s="8"/>
      <c r="C2085" s="6" t="s">
        <v>2202</v>
      </c>
      <c r="D2085" s="12">
        <f>AVERAGE(D2116,D2049,D2093,D2068)</f>
        <v>14.77145912</v>
      </c>
    </row>
    <row r="2086" ht="25.5" customHeight="1">
      <c r="A2086" s="4" t="s">
        <v>3495</v>
      </c>
      <c r="B2086" s="8"/>
      <c r="C2086" s="6" t="s">
        <v>138</v>
      </c>
      <c r="D2086" s="12">
        <f>AVERAGE(D2128,D2073,D2119,D2112)</f>
        <v>11.59212659</v>
      </c>
    </row>
    <row r="2087" ht="25.5" customHeight="1">
      <c r="A2087" s="4" t="s">
        <v>3496</v>
      </c>
      <c r="B2087" s="8"/>
      <c r="C2087" s="6" t="s">
        <v>140</v>
      </c>
      <c r="D2087" s="12">
        <f>D2053</f>
        <v>11.64250575</v>
      </c>
    </row>
    <row r="2088" ht="25.5" customHeight="1">
      <c r="A2088" s="4" t="s">
        <v>3497</v>
      </c>
      <c r="B2088" s="8"/>
      <c r="C2088" s="6" t="s">
        <v>1362</v>
      </c>
      <c r="D2088" s="12">
        <f>AVERAGE(D2091,D2067,D2105,D2116,D2049)</f>
        <v>14.06731675</v>
      </c>
    </row>
    <row r="2089" ht="25.5" customHeight="1">
      <c r="A2089" s="4" t="s">
        <v>3498</v>
      </c>
      <c r="B2089" s="8"/>
      <c r="C2089" s="6" t="s">
        <v>402</v>
      </c>
      <c r="D2089" s="12">
        <f>D1990+(((D2064-D1990)/10)*9)</f>
        <v>16.65675862</v>
      </c>
    </row>
    <row r="2090" ht="25.5" customHeight="1">
      <c r="A2090" s="4" t="s">
        <v>3499</v>
      </c>
      <c r="B2090" s="8"/>
      <c r="C2090" s="6" t="s">
        <v>147</v>
      </c>
      <c r="D2090" s="12">
        <f>AVERAGE(D1006,D3117,D3073)</f>
        <v>11.93791916</v>
      </c>
    </row>
    <row r="2091" ht="25.5" customHeight="1">
      <c r="A2091" s="4" t="s">
        <v>3500</v>
      </c>
      <c r="B2091" s="8"/>
      <c r="C2091" s="6" t="s">
        <v>3501</v>
      </c>
      <c r="D2091" s="12">
        <f>D2071+(((D2076-D2071)/3)*1)</f>
        <v>13.26027029</v>
      </c>
    </row>
    <row r="2092" ht="25.5" customHeight="1">
      <c r="A2092" s="4" t="s">
        <v>3502</v>
      </c>
      <c r="B2092" s="8"/>
      <c r="C2092" s="6" t="s">
        <v>277</v>
      </c>
      <c r="D2092" s="12">
        <f>AVERAGE(D2052,D2121)</f>
        <v>4.478568966</v>
      </c>
    </row>
    <row r="2093" ht="25.5" customHeight="1">
      <c r="A2093" s="4" t="s">
        <v>3503</v>
      </c>
      <c r="B2093" s="8"/>
      <c r="C2093" s="6" t="s">
        <v>3504</v>
      </c>
      <c r="D2093" s="12">
        <f>D2133+(((D2123-D2133)/6)*4)</f>
        <v>15.21757471</v>
      </c>
    </row>
    <row r="2094" ht="25.5" customHeight="1">
      <c r="A2094" s="4" t="s">
        <v>3505</v>
      </c>
      <c r="B2094" s="8"/>
      <c r="C2094" s="6" t="s">
        <v>1144</v>
      </c>
      <c r="D2094" s="12">
        <f>D1316+(((D2464-D1316)/29)*2)</f>
        <v>3.982482759</v>
      </c>
    </row>
    <row r="2095" ht="25.5" customHeight="1">
      <c r="A2095" s="4" t="s">
        <v>3506</v>
      </c>
      <c r="B2095" s="8"/>
      <c r="C2095" s="6" t="s">
        <v>157</v>
      </c>
      <c r="D2095" s="12">
        <f>D2103+(((D2071-D2103)/4)*3)</f>
        <v>9.177467868</v>
      </c>
    </row>
    <row r="2096" ht="25.5" customHeight="1">
      <c r="A2096" s="4" t="s">
        <v>3507</v>
      </c>
      <c r="B2096" s="8"/>
      <c r="C2096" s="9" t="s">
        <v>3508</v>
      </c>
      <c r="D2096" s="12">
        <v>97.47</v>
      </c>
      <c r="E2096" s="10" t="s">
        <v>3509</v>
      </c>
    </row>
    <row r="2097" ht="25.5" customHeight="1">
      <c r="A2097" s="4" t="s">
        <v>3510</v>
      </c>
      <c r="B2097" s="8"/>
      <c r="C2097" s="6" t="s">
        <v>161</v>
      </c>
      <c r="D2097" s="12">
        <f>AVERAGE(D2067,D2105)</f>
        <v>12.8222069</v>
      </c>
    </row>
    <row r="2098" ht="25.5" customHeight="1">
      <c r="A2098" s="4" t="s">
        <v>3511</v>
      </c>
      <c r="B2098" s="8"/>
      <c r="C2098" s="6" t="s">
        <v>3512</v>
      </c>
      <c r="D2098" s="12">
        <f>D2123+(((D2129-D2123)/11)*1)</f>
        <v>19.33312853</v>
      </c>
    </row>
    <row r="2099" ht="25.5" customHeight="1">
      <c r="A2099" s="4" t="s">
        <v>3513</v>
      </c>
      <c r="B2099" s="8"/>
      <c r="C2099" s="6" t="s">
        <v>3514</v>
      </c>
      <c r="D2099" s="12">
        <f>AVERAGE(D3085,D3121)</f>
        <v>15.79019157</v>
      </c>
    </row>
    <row r="2100" ht="25.5" customHeight="1">
      <c r="A2100" s="4" t="s">
        <v>3515</v>
      </c>
      <c r="B2100" s="8"/>
      <c r="C2100" s="6" t="s">
        <v>1388</v>
      </c>
      <c r="D2100" s="12">
        <f>D2052</f>
        <v>4.423448276</v>
      </c>
    </row>
    <row r="2101" ht="25.5" customHeight="1">
      <c r="A2101" s="4" t="s">
        <v>3516</v>
      </c>
      <c r="B2101" s="8"/>
      <c r="C2101" s="6" t="s">
        <v>1513</v>
      </c>
      <c r="D2101" s="12">
        <f>D1316+(((D2464-D1316)/29)*8)</f>
        <v>4.643931034</v>
      </c>
    </row>
    <row r="2102" ht="25.5" customHeight="1">
      <c r="A2102" s="4" t="s">
        <v>3517</v>
      </c>
      <c r="B2102" s="8"/>
      <c r="C2102" s="6" t="s">
        <v>167</v>
      </c>
      <c r="D2102" s="12">
        <f>AVERAGE(D2130,D2107,D2053,D3092)</f>
        <v>12.77538506</v>
      </c>
    </row>
    <row r="2103" ht="25.5" customHeight="1">
      <c r="A2103" s="4" t="s">
        <v>3518</v>
      </c>
      <c r="B2103" s="8"/>
      <c r="C2103" s="6" t="s">
        <v>169</v>
      </c>
      <c r="D2103" s="12">
        <f>D1316+(((D2464-D1316)/29)*9)</f>
        <v>4.754172414</v>
      </c>
    </row>
    <row r="2104" ht="25.5" customHeight="1">
      <c r="A2104" s="4" t="s">
        <v>3519</v>
      </c>
      <c r="B2104" s="8"/>
      <c r="C2104" s="6" t="s">
        <v>171</v>
      </c>
      <c r="D2104" s="12">
        <f>AVERAGE(D2130,D2107,D2106)</f>
        <v>16.83989179</v>
      </c>
    </row>
    <row r="2105" ht="25.5" customHeight="1">
      <c r="A2105" s="4" t="s">
        <v>3520</v>
      </c>
      <c r="B2105" s="8"/>
      <c r="C2105" s="6" t="s">
        <v>3521</v>
      </c>
      <c r="D2105" s="12">
        <f>D2123+(((D2129-D2123)/11)*5)</f>
        <v>13.54564263</v>
      </c>
    </row>
    <row r="2106" ht="25.5" customHeight="1">
      <c r="A2106" s="4" t="s">
        <v>3522</v>
      </c>
      <c r="B2106" s="8"/>
      <c r="C2106" s="6" t="s">
        <v>3523</v>
      </c>
      <c r="D2106" s="12">
        <f>D2071+(((D2076-D2071)/3)*2)</f>
        <v>15.86864089</v>
      </c>
    </row>
    <row r="2107" ht="25.5" customHeight="1">
      <c r="A2107" s="4" t="s">
        <v>3524</v>
      </c>
      <c r="B2107" s="8"/>
      <c r="C2107" s="6" t="s">
        <v>1520</v>
      </c>
      <c r="D2107" s="12">
        <f>D2123+(((D1717-D2123)/18)*4)</f>
        <v>17.70934866</v>
      </c>
    </row>
    <row r="2108" ht="25.5" customHeight="1">
      <c r="A2108" s="4" t="s">
        <v>3525</v>
      </c>
      <c r="B2108" s="8"/>
      <c r="C2108" s="6" t="s">
        <v>1692</v>
      </c>
      <c r="D2108" s="12">
        <f>D2133+(((D2123-D2133)/6)*1)</f>
        <v>6.873936782</v>
      </c>
    </row>
    <row r="2109" ht="25.5" customHeight="1">
      <c r="A2109" s="4" t="s">
        <v>3526</v>
      </c>
      <c r="B2109" s="8"/>
      <c r="C2109" s="6" t="s">
        <v>959</v>
      </c>
      <c r="D2109" s="12">
        <f>D801</f>
        <v>7.954272727</v>
      </c>
    </row>
    <row r="2110" ht="25.5" customHeight="1">
      <c r="A2110" s="4" t="s">
        <v>3527</v>
      </c>
      <c r="B2110" s="8"/>
      <c r="C2110" s="6" t="s">
        <v>173</v>
      </c>
      <c r="D2110" s="12">
        <f>AVERAGE(D2106,D2091)</f>
        <v>14.56445559</v>
      </c>
    </row>
    <row r="2111" ht="25.5" customHeight="1">
      <c r="A2111" s="4" t="s">
        <v>3528</v>
      </c>
      <c r="B2111" s="8"/>
      <c r="C2111" s="6" t="s">
        <v>3529</v>
      </c>
      <c r="D2111" s="12">
        <f>D2123+(((D2129-D2123)/11)*8)</f>
        <v>9.205028213</v>
      </c>
    </row>
    <row r="2112" ht="25.5" customHeight="1">
      <c r="A2112" s="4" t="s">
        <v>3530</v>
      </c>
      <c r="B2112" s="8"/>
      <c r="C2112" s="6" t="s">
        <v>177</v>
      </c>
      <c r="D2112" s="12">
        <f>AVERAGE(D2117,D2082)</f>
        <v>8.729243992</v>
      </c>
    </row>
    <row r="2113" ht="25.5" customHeight="1">
      <c r="A2113" s="4" t="s">
        <v>3531</v>
      </c>
      <c r="B2113" s="8"/>
      <c r="C2113" s="6" t="s">
        <v>3532</v>
      </c>
      <c r="D2113" s="12">
        <f>AVERAGE(D2123,D2124)</f>
        <v>59.125</v>
      </c>
    </row>
    <row r="2114" ht="25.5" customHeight="1">
      <c r="A2114" s="4" t="s">
        <v>3533</v>
      </c>
      <c r="B2114" s="8"/>
      <c r="C2114" s="6" t="s">
        <v>3534</v>
      </c>
      <c r="D2114" s="12">
        <f>D848+(((D2103-D848)/5)*4)</f>
        <v>5.537537931</v>
      </c>
    </row>
    <row r="2115" ht="25.5" customHeight="1">
      <c r="A2115" s="4" t="s">
        <v>3535</v>
      </c>
      <c r="B2115" s="8"/>
      <c r="C2115" s="6" t="s">
        <v>745</v>
      </c>
      <c r="D2115" s="12">
        <f>AVERAGE(D2078,D2048)</f>
        <v>4.258086207</v>
      </c>
    </row>
    <row r="2116" ht="25.5" customHeight="1">
      <c r="A2116" s="4" t="s">
        <v>3536</v>
      </c>
      <c r="B2116" s="8"/>
      <c r="C2116" s="6" t="s">
        <v>1407</v>
      </c>
      <c r="D2116" s="12">
        <f>D2123+(((D2129-D2123)/11)*4)</f>
        <v>14.99251411</v>
      </c>
    </row>
    <row r="2117" ht="25.5" customHeight="1">
      <c r="A2117" s="4" t="s">
        <v>3537</v>
      </c>
      <c r="B2117" s="8"/>
      <c r="C2117" s="6" t="s">
        <v>3538</v>
      </c>
      <c r="D2117" s="12">
        <f>AVERAGE(D2111,D2053)</f>
        <v>10.42376698</v>
      </c>
    </row>
    <row r="2118" ht="25.5" customHeight="1">
      <c r="A2118" s="4" t="s">
        <v>3539</v>
      </c>
      <c r="B2118" s="8"/>
      <c r="C2118" s="6" t="s">
        <v>3540</v>
      </c>
      <c r="D2118" s="12">
        <f>D2133+(((D2123-D2133)/6)*2)</f>
        <v>9.655149425</v>
      </c>
    </row>
    <row r="2119" ht="25.5" customHeight="1">
      <c r="A2119" s="4" t="s">
        <v>3541</v>
      </c>
      <c r="B2119" s="8"/>
      <c r="C2119" s="6" t="s">
        <v>3542</v>
      </c>
      <c r="D2119" s="12">
        <f>AVERAGE(D2090,D1041,D1064)</f>
        <v>10.73757331</v>
      </c>
    </row>
    <row r="2120" ht="25.5" customHeight="1">
      <c r="A2120" s="4" t="s">
        <v>3543</v>
      </c>
      <c r="B2120" s="8"/>
      <c r="C2120" s="6" t="s">
        <v>3416</v>
      </c>
      <c r="D2120" s="12">
        <f>AVERAGE(D2118,D2133,D2078)</f>
        <v>5.983613027</v>
      </c>
    </row>
    <row r="2121" ht="25.5" customHeight="1">
      <c r="A2121" s="4" t="s">
        <v>3544</v>
      </c>
      <c r="B2121" s="8"/>
      <c r="C2121" s="6" t="s">
        <v>183</v>
      </c>
      <c r="D2121" s="12">
        <f>D1316+(((D2464-D1316)/29)*7)</f>
        <v>4.533689655</v>
      </c>
    </row>
    <row r="2122" ht="25.5" customHeight="1">
      <c r="A2122" s="4" t="s">
        <v>3545</v>
      </c>
      <c r="B2122" s="8"/>
      <c r="C2122" s="6" t="s">
        <v>1419</v>
      </c>
      <c r="D2122" s="12">
        <f>D2123+(((D1717-D2123)/18)*1)</f>
        <v>20.01233716</v>
      </c>
    </row>
    <row r="2123" ht="25.5" customHeight="1">
      <c r="A2123" s="4" t="s">
        <v>3546</v>
      </c>
      <c r="B2123" s="8"/>
      <c r="C2123" s="9" t="s">
        <v>610</v>
      </c>
      <c r="D2123" s="12">
        <v>20.78</v>
      </c>
      <c r="E2123" s="10" t="s">
        <v>3547</v>
      </c>
    </row>
    <row r="2124" ht="25.5" customHeight="1">
      <c r="A2124" s="4" t="s">
        <v>3548</v>
      </c>
      <c r="B2124" s="8"/>
      <c r="C2124" s="9" t="s">
        <v>3549</v>
      </c>
      <c r="D2124" s="12">
        <f>D2096</f>
        <v>97.47</v>
      </c>
      <c r="E2124" s="13" t="s">
        <v>3509</v>
      </c>
    </row>
    <row r="2125" ht="25.5" customHeight="1">
      <c r="A2125" s="4" t="s">
        <v>3550</v>
      </c>
      <c r="B2125" s="8"/>
      <c r="C2125" s="6" t="s">
        <v>3551</v>
      </c>
      <c r="D2125" s="12">
        <f>D2123+(((D1717-D2123)/18)*2)</f>
        <v>19.24467433</v>
      </c>
    </row>
    <row r="2126" ht="25.5" customHeight="1">
      <c r="A2126" s="4" t="s">
        <v>3552</v>
      </c>
      <c r="B2126" s="8"/>
      <c r="C2126" s="6" t="s">
        <v>326</v>
      </c>
      <c r="D2126" s="12">
        <f>AVERAGE(D2095,D2067)</f>
        <v>10.63811951</v>
      </c>
    </row>
    <row r="2127" ht="25.5" customHeight="1">
      <c r="A2127" s="4" t="s">
        <v>3553</v>
      </c>
      <c r="B2127" s="8"/>
      <c r="C2127" s="6" t="s">
        <v>3554</v>
      </c>
      <c r="D2127" s="12">
        <f>AVERAGE(D2052,D2048,D801)</f>
        <v>5.563642633</v>
      </c>
    </row>
    <row r="2128" ht="25.5" customHeight="1">
      <c r="A2128" s="4" t="s">
        <v>3555</v>
      </c>
      <c r="B2128" s="8"/>
      <c r="C2128" s="6" t="s">
        <v>3556</v>
      </c>
      <c r="D2128" s="12">
        <f>AVERAGE(D2099,D2051,D2083,D2117)</f>
        <v>12.99421029</v>
      </c>
    </row>
    <row r="2129" ht="25.5" customHeight="1">
      <c r="A2129" s="4" t="s">
        <v>3557</v>
      </c>
      <c r="B2129" s="8"/>
      <c r="C2129" s="6" t="s">
        <v>1025</v>
      </c>
      <c r="D2129" s="12">
        <f>D1316+(((D2464-D1316)/29)*10)</f>
        <v>4.864413793</v>
      </c>
    </row>
    <row r="2130" ht="25.5" customHeight="1">
      <c r="A2130" s="4" t="s">
        <v>3558</v>
      </c>
      <c r="B2130" s="8"/>
      <c r="C2130" s="6" t="s">
        <v>197</v>
      </c>
      <c r="D2130" s="12">
        <f>D2123+(((D1717-D2123)/18)*5)</f>
        <v>16.94168582</v>
      </c>
    </row>
    <row r="2131" ht="25.5" customHeight="1">
      <c r="A2131" s="4" t="s">
        <v>3559</v>
      </c>
      <c r="B2131" s="8"/>
      <c r="C2131" s="6" t="s">
        <v>1028</v>
      </c>
      <c r="D2131" s="12">
        <f>D2123+(((D2129-D2123)/11)*2)</f>
        <v>17.88625705</v>
      </c>
    </row>
    <row r="2132" ht="25.5" customHeight="1">
      <c r="A2132" s="4" t="s">
        <v>3560</v>
      </c>
      <c r="B2132" s="8"/>
      <c r="C2132" s="6" t="s">
        <v>3067</v>
      </c>
      <c r="D2132" s="12">
        <f>D875+(((D2094-D875)/3)*1)</f>
        <v>6.47107001</v>
      </c>
    </row>
    <row r="2133" ht="25.5" customHeight="1">
      <c r="A2133" s="4" t="s">
        <v>3561</v>
      </c>
      <c r="B2133" s="8"/>
      <c r="C2133" s="6" t="s">
        <v>3562</v>
      </c>
      <c r="D2133" s="12">
        <f>D1316+(((D2464-D1316)/29)*3)</f>
        <v>4.092724138</v>
      </c>
    </row>
    <row r="2134" ht="25.5" customHeight="1">
      <c r="A2134" s="4" t="s">
        <v>3563</v>
      </c>
      <c r="B2134" s="11"/>
      <c r="C2134" s="6" t="s">
        <v>3564</v>
      </c>
      <c r="D2134" s="12">
        <f>D2078</f>
        <v>4.202965517</v>
      </c>
    </row>
    <row r="2135" ht="25.5" customHeight="1">
      <c r="A2135" s="4" t="s">
        <v>3565</v>
      </c>
      <c r="B2135" s="5" t="s">
        <v>3566</v>
      </c>
      <c r="C2135" s="6" t="s">
        <v>1057</v>
      </c>
      <c r="D2135" s="12">
        <f>AVERAGE(D2202,D115,D170,D102)</f>
        <v>8.138384211</v>
      </c>
    </row>
    <row r="2136" ht="25.5" customHeight="1">
      <c r="A2136" s="4" t="s">
        <v>3567</v>
      </c>
      <c r="B2136" s="8"/>
      <c r="C2136" s="6" t="s">
        <v>3568</v>
      </c>
      <c r="D2136" s="12">
        <f>AVERAGE(D2158,D2161,D930)</f>
        <v>12.36391667</v>
      </c>
    </row>
    <row r="2137" ht="25.5" customHeight="1">
      <c r="A2137" s="4" t="s">
        <v>3569</v>
      </c>
      <c r="B2137" s="8"/>
      <c r="C2137" s="6" t="s">
        <v>3570</v>
      </c>
      <c r="D2137" s="12">
        <f>AVERAGE(D2169,D2195)</f>
        <v>12.60076184</v>
      </c>
    </row>
    <row r="2138" ht="25.5" customHeight="1">
      <c r="A2138" s="4" t="s">
        <v>3571</v>
      </c>
      <c r="B2138" s="8"/>
      <c r="C2138" s="6" t="s">
        <v>3572</v>
      </c>
      <c r="D2138" s="12">
        <f>AVERAGE(D2705,D2674,D2157)</f>
        <v>15.15773868</v>
      </c>
    </row>
    <row r="2139" ht="25.5" customHeight="1">
      <c r="A2139" s="4" t="s">
        <v>3573</v>
      </c>
      <c r="B2139" s="8"/>
      <c r="C2139" s="6" t="s">
        <v>3574</v>
      </c>
      <c r="D2139" s="12">
        <f>D2714+(((D2189-D2714)/9)*4)</f>
        <v>14.93524444</v>
      </c>
    </row>
    <row r="2140" ht="25.5" customHeight="1">
      <c r="A2140" s="4" t="s">
        <v>3575</v>
      </c>
      <c r="B2140" s="8"/>
      <c r="C2140" s="6" t="s">
        <v>1223</v>
      </c>
      <c r="D2140" s="12">
        <f>AVERAGE(D2154,D2142,D2143)</f>
        <v>14.15167778</v>
      </c>
    </row>
    <row r="2141" ht="25.5" customHeight="1">
      <c r="A2141" s="4" t="s">
        <v>3576</v>
      </c>
      <c r="B2141" s="8"/>
      <c r="C2141" s="6" t="s">
        <v>795</v>
      </c>
      <c r="D2141" s="12">
        <f>AVERAGE(D2600,D2617,D2179,D2169)</f>
        <v>19.75669705</v>
      </c>
    </row>
    <row r="2142" ht="25.5" customHeight="1">
      <c r="A2142" s="4" t="s">
        <v>3577</v>
      </c>
      <c r="B2142" s="8"/>
      <c r="C2142" s="6" t="s">
        <v>1947</v>
      </c>
      <c r="D2142" s="12">
        <f>D2714+(((D2189-D2714)/9)*7)</f>
        <v>14.15167778</v>
      </c>
    </row>
    <row r="2143" ht="25.5" customHeight="1">
      <c r="A2143" s="4" t="s">
        <v>3578</v>
      </c>
      <c r="B2143" s="8"/>
      <c r="C2143" s="6" t="s">
        <v>3579</v>
      </c>
      <c r="D2143" s="12">
        <f>D2714+(((D2189-D2714)/9)*8)</f>
        <v>13.89048889</v>
      </c>
    </row>
    <row r="2144" ht="25.5" customHeight="1">
      <c r="A2144" s="4" t="s">
        <v>3580</v>
      </c>
      <c r="B2144" s="8"/>
      <c r="C2144" s="6" t="s">
        <v>1790</v>
      </c>
      <c r="D2144" s="12">
        <f>D2575+(((D914-D2575)/20)*2)</f>
        <v>15.2798</v>
      </c>
    </row>
    <row r="2145" ht="25.5" customHeight="1">
      <c r="A2145" s="4" t="s">
        <v>3581</v>
      </c>
      <c r="B2145" s="8"/>
      <c r="C2145" s="6" t="s">
        <v>86</v>
      </c>
      <c r="D2145" s="12">
        <f>AVERAGE(D2180,D2185,D2202)</f>
        <v>9.436888304</v>
      </c>
    </row>
    <row r="2146" ht="25.5" customHeight="1">
      <c r="A2146" s="4" t="s">
        <v>3582</v>
      </c>
      <c r="B2146" s="8"/>
      <c r="C2146" s="6" t="s">
        <v>90</v>
      </c>
      <c r="D2146" s="12">
        <f>AVERAGE(D2182,D2720)</f>
        <v>17.13547601</v>
      </c>
    </row>
    <row r="2147" ht="25.5" customHeight="1">
      <c r="A2147" s="4" t="s">
        <v>3583</v>
      </c>
      <c r="B2147" s="8"/>
      <c r="C2147" s="6" t="s">
        <v>3584</v>
      </c>
      <c r="D2147" s="12">
        <f>AVERAGE(D251,D1966)</f>
        <v>26.31896795</v>
      </c>
    </row>
    <row r="2148" ht="25.5" customHeight="1">
      <c r="A2148" s="4" t="s">
        <v>3585</v>
      </c>
      <c r="B2148" s="8"/>
      <c r="C2148" s="6" t="s">
        <v>226</v>
      </c>
      <c r="D2148" s="12">
        <f>D2575+(((D914-D2575)/20)*6)</f>
        <v>13.9594</v>
      </c>
    </row>
    <row r="2149" ht="25.5" customHeight="1">
      <c r="A2149" s="4" t="s">
        <v>3586</v>
      </c>
      <c r="B2149" s="8"/>
      <c r="C2149" s="6" t="s">
        <v>3587</v>
      </c>
      <c r="D2149" s="12">
        <f>AVERAGE(D2169,D2196,D2166,D2195)</f>
        <v>12.56687908</v>
      </c>
    </row>
    <row r="2150" ht="25.5" customHeight="1">
      <c r="A2150" s="4" t="s">
        <v>3588</v>
      </c>
      <c r="B2150" s="8"/>
      <c r="C2150" s="6" t="s">
        <v>1605</v>
      </c>
      <c r="D2150" s="12">
        <f>D2769+(((D2181-D2769)/4)*2)</f>
        <v>8.68125</v>
      </c>
    </row>
    <row r="2151" ht="25.5" customHeight="1">
      <c r="A2151" s="4" t="s">
        <v>3589</v>
      </c>
      <c r="B2151" s="8"/>
      <c r="C2151" s="6" t="s">
        <v>3590</v>
      </c>
      <c r="D2151" s="12">
        <f>D2769+(((D2181-D2769)/4)*1)</f>
        <v>5.877125</v>
      </c>
    </row>
    <row r="2152" ht="25.5" customHeight="1">
      <c r="A2152" s="4" t="s">
        <v>3591</v>
      </c>
      <c r="B2152" s="8"/>
      <c r="C2152" s="6" t="s">
        <v>3592</v>
      </c>
      <c r="D2152" s="12">
        <f>D2189+(((D1454-D2189)/18)*6)</f>
        <v>9.5893</v>
      </c>
    </row>
    <row r="2153" ht="25.5" customHeight="1">
      <c r="A2153" s="4" t="s">
        <v>3593</v>
      </c>
      <c r="B2153" s="8"/>
      <c r="C2153" s="6" t="s">
        <v>3594</v>
      </c>
      <c r="D2153" s="12">
        <f>D2189+(((D1454-D2189)/18)*2)</f>
        <v>12.28263333</v>
      </c>
    </row>
    <row r="2154" ht="25.5" customHeight="1">
      <c r="A2154" s="4" t="s">
        <v>3595</v>
      </c>
      <c r="B2154" s="8"/>
      <c r="C2154" s="6" t="s">
        <v>527</v>
      </c>
      <c r="D2154" s="12">
        <f>D2714+(((D2189-D2714)/9)*6)</f>
        <v>14.41286667</v>
      </c>
    </row>
    <row r="2155" ht="25.5" customHeight="1">
      <c r="A2155" s="4" t="s">
        <v>3596</v>
      </c>
      <c r="B2155" s="8"/>
      <c r="C2155" s="6" t="s">
        <v>1098</v>
      </c>
      <c r="D2155" s="12">
        <f>AVERAGE(D2180,D2152,D2192,D102)</f>
        <v>9.182289474</v>
      </c>
    </row>
    <row r="2156" ht="25.5" customHeight="1">
      <c r="A2156" s="4" t="s">
        <v>3597</v>
      </c>
      <c r="B2156" s="8"/>
      <c r="C2156" s="6" t="s">
        <v>3598</v>
      </c>
      <c r="D2156" s="12">
        <f>AVERAGE(D2154)</f>
        <v>14.41286667</v>
      </c>
    </row>
    <row r="2157" ht="25.5" customHeight="1">
      <c r="A2157" s="4" t="s">
        <v>3599</v>
      </c>
      <c r="B2157" s="8"/>
      <c r="C2157" s="6" t="s">
        <v>1618</v>
      </c>
      <c r="D2157" s="12">
        <f>AVERAGE(D2632,D2199,D2156)</f>
        <v>14.81916049</v>
      </c>
    </row>
    <row r="2158" ht="25.5" customHeight="1">
      <c r="A2158" s="4" t="s">
        <v>3600</v>
      </c>
      <c r="B2158" s="8"/>
      <c r="C2158" s="6" t="s">
        <v>545</v>
      </c>
      <c r="D2158" s="12">
        <f>AVERAGE(D2176,D2186)</f>
        <v>12.9691</v>
      </c>
    </row>
    <row r="2159" ht="25.5" customHeight="1">
      <c r="A2159" s="4" t="s">
        <v>3601</v>
      </c>
      <c r="B2159" s="8"/>
      <c r="C2159" s="6" t="s">
        <v>3602</v>
      </c>
      <c r="D2159" s="12">
        <f>D2575+(((D914-D2575)/20)*4)</f>
        <v>14.6196</v>
      </c>
    </row>
    <row r="2160" ht="25.5" customHeight="1">
      <c r="A2160" s="4" t="s">
        <v>3603</v>
      </c>
      <c r="B2160" s="8"/>
      <c r="C2160" s="6" t="s">
        <v>887</v>
      </c>
      <c r="D2160" s="12">
        <f>D2769+(((D2181-D2769)/4)*3)</f>
        <v>11.485375</v>
      </c>
    </row>
    <row r="2161" ht="25.5" customHeight="1">
      <c r="A2161" s="4" t="s">
        <v>3604</v>
      </c>
      <c r="B2161" s="8"/>
      <c r="C2161" s="6" t="s">
        <v>252</v>
      </c>
      <c r="D2161" s="12">
        <f>AVERAGE(D2170,D987)</f>
        <v>12.14385</v>
      </c>
    </row>
    <row r="2162" ht="25.5" customHeight="1">
      <c r="A2162" s="4" t="s">
        <v>3605</v>
      </c>
      <c r="B2162" s="8"/>
      <c r="C2162" s="6" t="s">
        <v>3606</v>
      </c>
      <c r="D2162" s="12">
        <f>D2139</f>
        <v>14.93524444</v>
      </c>
    </row>
    <row r="2163" ht="25.5" customHeight="1">
      <c r="A2163" s="4" t="s">
        <v>3607</v>
      </c>
      <c r="B2163" s="8"/>
      <c r="C2163" s="6" t="s">
        <v>3608</v>
      </c>
      <c r="D2163" s="12">
        <f>D2139</f>
        <v>14.93524444</v>
      </c>
    </row>
    <row r="2164" ht="25.5" customHeight="1">
      <c r="A2164" s="4" t="s">
        <v>3609</v>
      </c>
      <c r="B2164" s="8"/>
      <c r="C2164" s="6" t="s">
        <v>1639</v>
      </c>
      <c r="D2164" s="12">
        <f>AVERAGE(D2157,D2211)</f>
        <v>14.61601358</v>
      </c>
    </row>
    <row r="2165" ht="25.5" customHeight="1">
      <c r="A2165" s="4" t="s">
        <v>3610</v>
      </c>
      <c r="B2165" s="8"/>
      <c r="C2165" s="6" t="s">
        <v>1643</v>
      </c>
      <c r="D2165" s="12">
        <f>AVERAGE(D2202,D2185,D2183)</f>
        <v>9.378268421</v>
      </c>
    </row>
    <row r="2166" ht="25.5" customHeight="1">
      <c r="A2166" s="4" t="s">
        <v>3611</v>
      </c>
      <c r="B2166" s="8"/>
      <c r="C2166" s="6" t="s">
        <v>3612</v>
      </c>
      <c r="D2166" s="12">
        <f>AVERAGE(D2183,D2188,D2201)</f>
        <v>11.26761579</v>
      </c>
    </row>
    <row r="2167" ht="25.5" customHeight="1">
      <c r="A2167" s="4" t="s">
        <v>3613</v>
      </c>
      <c r="B2167" s="8"/>
      <c r="C2167" s="6" t="s">
        <v>138</v>
      </c>
      <c r="D2167" s="12">
        <f>AVERAGE(D2770,D2205,D2172,D2162,D2163)</f>
        <v>10.26458833</v>
      </c>
    </row>
    <row r="2168" ht="25.5" customHeight="1">
      <c r="A2168" s="4" t="s">
        <v>3614</v>
      </c>
      <c r="B2168" s="8"/>
      <c r="C2168" s="6" t="s">
        <v>140</v>
      </c>
      <c r="D2168" s="12">
        <f>AVERAGE(D2177,D2144,D2151)</f>
        <v>12.25560833</v>
      </c>
    </row>
    <row r="2169" ht="25.5" customHeight="1">
      <c r="A2169" s="4" t="s">
        <v>3615</v>
      </c>
      <c r="B2169" s="8"/>
      <c r="C2169" s="6" t="s">
        <v>2902</v>
      </c>
      <c r="D2169" s="12">
        <f>AVERAGE(D2184,D2144)</f>
        <v>15.11475</v>
      </c>
    </row>
    <row r="2170" ht="25.5" customHeight="1">
      <c r="A2170" s="4" t="s">
        <v>3616</v>
      </c>
      <c r="B2170" s="8"/>
      <c r="C2170" s="6" t="s">
        <v>3617</v>
      </c>
      <c r="D2170" s="12">
        <f>D2575+(((D914-D2575)/20)*11)</f>
        <v>12.3089</v>
      </c>
    </row>
    <row r="2171" ht="25.5" customHeight="1">
      <c r="A2171" s="4" t="s">
        <v>3618</v>
      </c>
      <c r="B2171" s="8"/>
      <c r="C2171" s="6" t="s">
        <v>3619</v>
      </c>
      <c r="D2171" s="12">
        <f>AVERAGE(D2143,D2176)</f>
        <v>13.59484444</v>
      </c>
    </row>
    <row r="2172" ht="25.5" customHeight="1">
      <c r="A2172" s="4" t="s">
        <v>3620</v>
      </c>
      <c r="B2172" s="8"/>
      <c r="C2172" s="6" t="s">
        <v>559</v>
      </c>
      <c r="D2172" s="12">
        <f>AVERAGE(D2150,D2142,D2209)</f>
        <v>12.50232778</v>
      </c>
    </row>
    <row r="2173" ht="25.5" customHeight="1">
      <c r="A2173" s="4" t="s">
        <v>3621</v>
      </c>
      <c r="B2173" s="8"/>
      <c r="C2173" s="6" t="s">
        <v>3622</v>
      </c>
      <c r="D2173" s="12">
        <f>AVERAGE(D2174,D2165,D2195)</f>
        <v>9.260184211</v>
      </c>
    </row>
    <row r="2174" ht="25.5" customHeight="1">
      <c r="A2174" s="4" t="s">
        <v>3623</v>
      </c>
      <c r="B2174" s="8"/>
      <c r="C2174" s="6" t="s">
        <v>3624</v>
      </c>
      <c r="D2174" s="12">
        <f>AVERAGE(D2202,D163)</f>
        <v>8.315510526</v>
      </c>
    </row>
    <row r="2175" ht="25.5" customHeight="1">
      <c r="A2175" s="4" t="s">
        <v>3625</v>
      </c>
      <c r="B2175" s="8"/>
      <c r="C2175" s="6" t="s">
        <v>273</v>
      </c>
      <c r="D2175" s="12">
        <f>D2189+(((D1454-D2189)/18)*1)</f>
        <v>12.95596667</v>
      </c>
    </row>
    <row r="2176" ht="25.5" customHeight="1">
      <c r="A2176" s="4" t="s">
        <v>3626</v>
      </c>
      <c r="B2176" s="8"/>
      <c r="C2176" s="6" t="s">
        <v>277</v>
      </c>
      <c r="D2176" s="12">
        <f>D2575+(((D914-D2575)/20)*8)</f>
        <v>13.2992</v>
      </c>
    </row>
    <row r="2177" ht="25.5" customHeight="1">
      <c r="A2177" s="4" t="s">
        <v>3627</v>
      </c>
      <c r="B2177" s="8"/>
      <c r="C2177" s="6" t="s">
        <v>3628</v>
      </c>
      <c r="D2177" s="12">
        <f>D2575+(((D914-D2575)/20)*1)</f>
        <v>15.6099</v>
      </c>
    </row>
    <row r="2178" ht="25.5" customHeight="1">
      <c r="A2178" s="4" t="s">
        <v>3629</v>
      </c>
      <c r="B2178" s="8"/>
      <c r="C2178" s="6" t="s">
        <v>3630</v>
      </c>
      <c r="D2178" s="12">
        <f>AVERAGE(D2156,D2140,D2171,D2158)</f>
        <v>13.78212222</v>
      </c>
    </row>
    <row r="2179" ht="25.5" customHeight="1">
      <c r="A2179" s="4" t="s">
        <v>3631</v>
      </c>
      <c r="B2179" s="8"/>
      <c r="C2179" s="6" t="s">
        <v>163</v>
      </c>
      <c r="D2179" s="12">
        <f>AVERAGE(D2144,D2177)</f>
        <v>15.44485</v>
      </c>
    </row>
    <row r="2180" ht="25.5" customHeight="1">
      <c r="A2180" s="4" t="s">
        <v>3632</v>
      </c>
      <c r="B2180" s="8"/>
      <c r="C2180" s="6" t="s">
        <v>3633</v>
      </c>
      <c r="D2180" s="12">
        <f>D2189+(((D1454-D2189)/18)*5)</f>
        <v>10.26263333</v>
      </c>
    </row>
    <row r="2181" ht="25.5" customHeight="1">
      <c r="A2181" s="4" t="s">
        <v>3634</v>
      </c>
      <c r="B2181" s="8"/>
      <c r="C2181" s="6" t="s">
        <v>3635</v>
      </c>
      <c r="D2181" s="12">
        <f>D2575+(((D914-D2575)/20)*5)</f>
        <v>14.2895</v>
      </c>
    </row>
    <row r="2182" ht="25.5" customHeight="1">
      <c r="A2182" s="4" t="s">
        <v>3636</v>
      </c>
      <c r="B2182" s="8"/>
      <c r="C2182" s="6" t="s">
        <v>3637</v>
      </c>
      <c r="D2182" s="12">
        <f>D2545</f>
        <v>15.8362583</v>
      </c>
    </row>
    <row r="2183" ht="25.5" customHeight="1">
      <c r="A2183" s="4" t="s">
        <v>3638</v>
      </c>
      <c r="B2183" s="8"/>
      <c r="C2183" s="6" t="s">
        <v>940</v>
      </c>
      <c r="D2183" s="12">
        <f>D2189+(((D116-D2189)/19)*5)</f>
        <v>10.08677368</v>
      </c>
    </row>
    <row r="2184" ht="25.5" customHeight="1">
      <c r="A2184" s="4" t="s">
        <v>3639</v>
      </c>
      <c r="B2184" s="8"/>
      <c r="C2184" s="6" t="s">
        <v>950</v>
      </c>
      <c r="D2184" s="12">
        <f>D2575+(((D914-D2575)/20)*3)</f>
        <v>14.9497</v>
      </c>
    </row>
    <row r="2185" ht="25.5" customHeight="1">
      <c r="A2185" s="4" t="s">
        <v>3640</v>
      </c>
      <c r="B2185" s="8"/>
      <c r="C2185" s="6" t="s">
        <v>3641</v>
      </c>
      <c r="D2185" s="12">
        <f>D2189+(((D116-D2189)/19)*6)</f>
        <v>9.378268421</v>
      </c>
    </row>
    <row r="2186" ht="25.5" customHeight="1">
      <c r="A2186" s="4" t="s">
        <v>3642</v>
      </c>
      <c r="B2186" s="8"/>
      <c r="C2186" s="6" t="s">
        <v>1520</v>
      </c>
      <c r="D2186" s="12">
        <f>D2575+(((D914-D2575)/20)*10)</f>
        <v>12.639</v>
      </c>
    </row>
    <row r="2187" ht="25.5" customHeight="1">
      <c r="A2187" s="4" t="s">
        <v>3643</v>
      </c>
      <c r="B2187" s="8"/>
      <c r="C2187" s="6" t="s">
        <v>3644</v>
      </c>
      <c r="D2187" s="12">
        <f>AVERAGE(D2152,D2200)</f>
        <v>10.26263333</v>
      </c>
    </row>
    <row r="2188" ht="25.5" customHeight="1">
      <c r="A2188" s="4" t="s">
        <v>3645</v>
      </c>
      <c r="B2188" s="8"/>
      <c r="C2188" s="6" t="s">
        <v>3646</v>
      </c>
      <c r="D2188" s="12">
        <f>D2189+(((D116-D2189)/19)*3)</f>
        <v>11.50378421</v>
      </c>
    </row>
    <row r="2189" ht="25.5" customHeight="1">
      <c r="A2189" s="4" t="s">
        <v>3647</v>
      </c>
      <c r="B2189" s="8"/>
      <c r="C2189" s="6" t="s">
        <v>3648</v>
      </c>
      <c r="D2189" s="12">
        <f>D2575+(((D914-D2575)/20)*7)</f>
        <v>13.6293</v>
      </c>
    </row>
    <row r="2190" ht="25.5" customHeight="1">
      <c r="A2190" s="4" t="s">
        <v>3649</v>
      </c>
      <c r="B2190" s="8"/>
      <c r="C2190" s="6" t="s">
        <v>3650</v>
      </c>
      <c r="D2190" s="12">
        <f>D2189+(((D116-D2189)/19)*4)</f>
        <v>10.79527895</v>
      </c>
    </row>
    <row r="2191" ht="25.5" customHeight="1">
      <c r="A2191" s="4" t="s">
        <v>3651</v>
      </c>
      <c r="B2191" s="8"/>
      <c r="C2191" s="6" t="s">
        <v>1688</v>
      </c>
      <c r="D2191" s="12">
        <f>AVERAGE(D2206,D2170,D2186)</f>
        <v>12.18573333</v>
      </c>
    </row>
    <row r="2192" ht="25.5" customHeight="1">
      <c r="A2192" s="4" t="s">
        <v>3652</v>
      </c>
      <c r="B2192" s="8"/>
      <c r="C2192" s="6" t="s">
        <v>1692</v>
      </c>
      <c r="D2192" s="12">
        <f>D2189+(((D1454-D2189)/18)*7)</f>
        <v>8.915966667</v>
      </c>
    </row>
    <row r="2193" ht="25.5" customHeight="1">
      <c r="A2193" s="4" t="s">
        <v>3653</v>
      </c>
      <c r="B2193" s="8"/>
      <c r="C2193" s="6" t="s">
        <v>1694</v>
      </c>
      <c r="D2193" s="12">
        <f>AVERAGE(D2186,D2194,D2153)</f>
        <v>12.63024444</v>
      </c>
    </row>
    <row r="2194" ht="25.5" customHeight="1">
      <c r="A2194" s="4" t="s">
        <v>3654</v>
      </c>
      <c r="B2194" s="8"/>
      <c r="C2194" s="6" t="s">
        <v>3655</v>
      </c>
      <c r="D2194" s="12">
        <f>D2575+(((D914-D2575)/20)*9)</f>
        <v>12.9691</v>
      </c>
    </row>
    <row r="2195" ht="25.5" customHeight="1">
      <c r="A2195" s="4" t="s">
        <v>3656</v>
      </c>
      <c r="B2195" s="8"/>
      <c r="C2195" s="6" t="s">
        <v>3657</v>
      </c>
      <c r="D2195" s="12">
        <f>D2183</f>
        <v>10.08677368</v>
      </c>
    </row>
    <row r="2196" ht="25.5" customHeight="1">
      <c r="A2196" s="4" t="s">
        <v>3658</v>
      </c>
      <c r="B2196" s="8"/>
      <c r="C2196" s="6" t="s">
        <v>2685</v>
      </c>
      <c r="D2196" s="12">
        <f>AVERAGE(D2201,D2197,D2181,D2159,D2184)</f>
        <v>13.79837684</v>
      </c>
    </row>
    <row r="2197" ht="25.5" customHeight="1">
      <c r="A2197" s="4" t="s">
        <v>3659</v>
      </c>
      <c r="B2197" s="8"/>
      <c r="C2197" s="6" t="s">
        <v>1697</v>
      </c>
      <c r="D2197" s="12">
        <f>D2189+(((D116-D2189)/19)*1)</f>
        <v>12.92079474</v>
      </c>
    </row>
    <row r="2198" ht="25.5" customHeight="1">
      <c r="A2198" s="4" t="s">
        <v>3660</v>
      </c>
      <c r="B2198" s="8"/>
      <c r="C2198" s="6" t="s">
        <v>3661</v>
      </c>
      <c r="D2198" s="12">
        <f>AVERAGE(D2195,D2174,D2182)</f>
        <v>11.4128475</v>
      </c>
    </row>
    <row r="2199" ht="25.5" customHeight="1">
      <c r="A2199" s="4" t="s">
        <v>3662</v>
      </c>
      <c r="B2199" s="8"/>
      <c r="C2199" s="6" t="s">
        <v>3663</v>
      </c>
      <c r="D2199" s="12">
        <f>AVERAGE(D2154,D2139,D2768)</f>
        <v>14.84818148</v>
      </c>
    </row>
    <row r="2200" ht="25.5" customHeight="1">
      <c r="A2200" s="4" t="s">
        <v>3664</v>
      </c>
      <c r="B2200" s="8"/>
      <c r="C2200" s="6" t="s">
        <v>3665</v>
      </c>
      <c r="D2200" s="12">
        <f>D2189+(((D1454-D2189)/18)*4)</f>
        <v>10.93596667</v>
      </c>
    </row>
    <row r="2201" ht="25.5" customHeight="1">
      <c r="A2201" s="4" t="s">
        <v>3666</v>
      </c>
      <c r="B2201" s="8"/>
      <c r="C2201" s="6" t="s">
        <v>750</v>
      </c>
      <c r="D2201" s="12">
        <f>D2189+(((D116-D2189)/19)*2)</f>
        <v>12.21228947</v>
      </c>
    </row>
    <row r="2202" ht="25.5" customHeight="1">
      <c r="A2202" s="4" t="s">
        <v>3667</v>
      </c>
      <c r="B2202" s="8"/>
      <c r="C2202" s="6" t="s">
        <v>3668</v>
      </c>
      <c r="D2202" s="12">
        <f>D2189+(((D116-D2189)/19)*7)</f>
        <v>8.669763158</v>
      </c>
    </row>
    <row r="2203" ht="25.5" customHeight="1">
      <c r="A2203" s="4" t="s">
        <v>3669</v>
      </c>
      <c r="B2203" s="8"/>
      <c r="C2203" s="6" t="s">
        <v>986</v>
      </c>
      <c r="D2203" s="12">
        <f>AVERAGE(D2144,D2159,D2160,D2150,D2151)</f>
        <v>11.18863</v>
      </c>
    </row>
    <row r="2204" ht="25.5" customHeight="1">
      <c r="A2204" s="4" t="s">
        <v>3670</v>
      </c>
      <c r="B2204" s="8"/>
      <c r="C2204" s="6" t="s">
        <v>2596</v>
      </c>
      <c r="D2204" s="12">
        <f>AVERAGE(D956,D2147,D2737,D2624,D2705)</f>
        <v>20.5564341</v>
      </c>
    </row>
    <row r="2205" ht="25.5" customHeight="1">
      <c r="A2205" s="4" t="s">
        <v>3671</v>
      </c>
      <c r="B2205" s="8"/>
      <c r="C2205" s="6" t="s">
        <v>3672</v>
      </c>
      <c r="D2205" s="12">
        <f>AVERAGE(D2769,D2151,D2150)</f>
        <v>5.877125</v>
      </c>
    </row>
    <row r="2206" ht="25.5" customHeight="1">
      <c r="A2206" s="4" t="s">
        <v>3673</v>
      </c>
      <c r="B2206" s="8"/>
      <c r="C2206" s="6" t="s">
        <v>3674</v>
      </c>
      <c r="D2206" s="12">
        <f>D2189+(((D1454-D2189)/18)*3)</f>
        <v>11.6093</v>
      </c>
    </row>
    <row r="2207" ht="25.5" customHeight="1">
      <c r="A2207" s="4" t="s">
        <v>3675</v>
      </c>
      <c r="B2207" s="8"/>
      <c r="C2207" s="6" t="s">
        <v>3676</v>
      </c>
      <c r="D2207" s="12">
        <f>AVERAGE(D2180,D2200,D2206,D2185)</f>
        <v>10.54654211</v>
      </c>
    </row>
    <row r="2208" ht="25.5" customHeight="1">
      <c r="A2208" s="4" t="s">
        <v>3677</v>
      </c>
      <c r="B2208" s="8"/>
      <c r="C2208" s="6" t="s">
        <v>197</v>
      </c>
      <c r="D2208" s="12">
        <f>AVERAGE(D2200,D2206)</f>
        <v>11.27263333</v>
      </c>
    </row>
    <row r="2209" ht="25.5" customHeight="1">
      <c r="A2209" s="4" t="s">
        <v>3678</v>
      </c>
      <c r="B2209" s="8"/>
      <c r="C2209" s="6" t="s">
        <v>3679</v>
      </c>
      <c r="D2209" s="12">
        <f>D2714+(((D2189-D2714)/9)*5)</f>
        <v>14.67405556</v>
      </c>
    </row>
    <row r="2210" ht="25.5" customHeight="1">
      <c r="A2210" s="4" t="s">
        <v>3680</v>
      </c>
      <c r="B2210" s="8"/>
      <c r="C2210" s="6" t="s">
        <v>3681</v>
      </c>
      <c r="D2210" s="12">
        <f>AVERAGE(D2211,D2178,D2136,D895)</f>
        <v>13.11379514</v>
      </c>
    </row>
    <row r="2211" ht="25.5" customHeight="1">
      <c r="A2211" s="4" t="s">
        <v>3682</v>
      </c>
      <c r="B2211" s="11"/>
      <c r="C2211" s="6" t="s">
        <v>3683</v>
      </c>
      <c r="D2211" s="12">
        <f>D2156</f>
        <v>14.41286667</v>
      </c>
    </row>
    <row r="2212" ht="25.5" customHeight="1">
      <c r="A2212" s="4" t="s">
        <v>3684</v>
      </c>
      <c r="B2212" s="5" t="s">
        <v>3685</v>
      </c>
      <c r="C2212" s="6" t="s">
        <v>651</v>
      </c>
      <c r="D2212" s="12">
        <f>D2237+(((D654-D2237)/12)*8)</f>
        <v>15.14266667</v>
      </c>
    </row>
    <row r="2213" ht="25.5" customHeight="1">
      <c r="A2213" s="4" t="s">
        <v>3686</v>
      </c>
      <c r="B2213" s="8"/>
      <c r="C2213" s="6" t="s">
        <v>210</v>
      </c>
      <c r="D2213" s="12">
        <f>D2233</f>
        <v>1.44</v>
      </c>
    </row>
    <row r="2214" ht="25.5" customHeight="1">
      <c r="A2214" s="4" t="s">
        <v>3687</v>
      </c>
      <c r="B2214" s="8"/>
      <c r="C2214" s="6" t="s">
        <v>3688</v>
      </c>
      <c r="D2214" s="7">
        <f>D245+(((D2987-D245)/20)*12)</f>
        <v>1.152</v>
      </c>
    </row>
    <row r="2215" ht="25.5" customHeight="1">
      <c r="A2215" s="4" t="s">
        <v>3689</v>
      </c>
      <c r="B2215" s="8"/>
      <c r="C2215" s="6" t="s">
        <v>3690</v>
      </c>
      <c r="D2215" s="12">
        <f>D2216</f>
        <v>0.864</v>
      </c>
    </row>
    <row r="2216" ht="25.5" customHeight="1">
      <c r="A2216" s="4" t="s">
        <v>3691</v>
      </c>
      <c r="B2216" s="8"/>
      <c r="C2216" s="6" t="s">
        <v>228</v>
      </c>
      <c r="D2216" s="12">
        <f>D2962</f>
        <v>0.864</v>
      </c>
    </row>
    <row r="2217" ht="25.5" customHeight="1">
      <c r="A2217" s="4" t="s">
        <v>3692</v>
      </c>
      <c r="B2217" s="8"/>
      <c r="C2217" s="6" t="s">
        <v>3210</v>
      </c>
      <c r="D2217" s="12">
        <f>D2221</f>
        <v>1.728</v>
      </c>
    </row>
    <row r="2218" ht="25.5" customHeight="1">
      <c r="A2218" s="4" t="s">
        <v>3693</v>
      </c>
      <c r="B2218" s="8"/>
      <c r="C2218" s="6" t="s">
        <v>3694</v>
      </c>
      <c r="D2218" s="12">
        <f>AVERAGE(D2227,D2220,D2224,D2223,D2246)</f>
        <v>7.760356838</v>
      </c>
    </row>
    <row r="2219" ht="25.5" customHeight="1">
      <c r="A2219" s="4" t="s">
        <v>3695</v>
      </c>
      <c r="B2219" s="8"/>
      <c r="C2219" s="6" t="s">
        <v>3269</v>
      </c>
      <c r="D2219" s="12">
        <f>D2228</f>
        <v>1.872</v>
      </c>
    </row>
    <row r="2220" ht="25.5" customHeight="1">
      <c r="A2220" s="4" t="s">
        <v>3696</v>
      </c>
      <c r="B2220" s="8"/>
      <c r="C2220" s="6" t="s">
        <v>3697</v>
      </c>
      <c r="D2220" s="12">
        <f>AVERAGE(D2233,D2231)</f>
        <v>1.512</v>
      </c>
    </row>
    <row r="2221" ht="25.5" customHeight="1">
      <c r="A2221" s="4" t="s">
        <v>3698</v>
      </c>
      <c r="B2221" s="8"/>
      <c r="C2221" s="6" t="s">
        <v>535</v>
      </c>
      <c r="D2221" s="7">
        <f>D245+(((D2987-D245)/20)*8)</f>
        <v>1.728</v>
      </c>
    </row>
    <row r="2222" ht="25.5" customHeight="1">
      <c r="A2222" s="4" t="s">
        <v>3699</v>
      </c>
      <c r="B2222" s="8"/>
      <c r="C2222" s="6" t="s">
        <v>3700</v>
      </c>
      <c r="D2222" s="12">
        <f>D2237+(((D654-D2237)/12)*4)</f>
        <v>8.075333333</v>
      </c>
    </row>
    <row r="2223" ht="25.5" customHeight="1">
      <c r="A2223" s="4" t="s">
        <v>3701</v>
      </c>
      <c r="B2223" s="8"/>
      <c r="C2223" s="6" t="s">
        <v>252</v>
      </c>
      <c r="D2223" s="12">
        <f>AVERAGE(D2236,D2241,D2242,D2212,D2234)</f>
        <v>13.37583333</v>
      </c>
    </row>
    <row r="2224" ht="25.5" customHeight="1">
      <c r="A2224" s="4" t="s">
        <v>3702</v>
      </c>
      <c r="B2224" s="8"/>
      <c r="C2224" s="6" t="s">
        <v>3703</v>
      </c>
      <c r="D2224" s="12">
        <f>AVERAGE(D1975,D2234)</f>
        <v>14.00167308</v>
      </c>
    </row>
    <row r="2225" ht="25.5" customHeight="1">
      <c r="A2225" s="4" t="s">
        <v>3704</v>
      </c>
      <c r="B2225" s="8"/>
      <c r="C2225" s="6" t="s">
        <v>3705</v>
      </c>
      <c r="D2225" s="12">
        <f>D2237+(((D654-D2237)/12)*1)</f>
        <v>2.774833333</v>
      </c>
    </row>
    <row r="2226" ht="25.5" customHeight="1">
      <c r="A2226" s="4" t="s">
        <v>3706</v>
      </c>
      <c r="B2226" s="8"/>
      <c r="C2226" s="6" t="s">
        <v>138</v>
      </c>
      <c r="D2226" s="7">
        <f>D245+(((D2987-D245)/20)*6)</f>
        <v>2.016</v>
      </c>
    </row>
    <row r="2227" ht="25.5" customHeight="1">
      <c r="A2227" s="4" t="s">
        <v>3707</v>
      </c>
      <c r="B2227" s="8"/>
      <c r="C2227" s="6" t="s">
        <v>140</v>
      </c>
      <c r="D2227" s="12">
        <f>AVERAGE(D2244,D2235,D2233)</f>
        <v>2.425888889</v>
      </c>
    </row>
    <row r="2228" ht="25.5" customHeight="1">
      <c r="A2228" s="4" t="s">
        <v>3708</v>
      </c>
      <c r="B2228" s="8"/>
      <c r="C2228" s="6" t="s">
        <v>3709</v>
      </c>
      <c r="D2228" s="7">
        <f>D245+(((D2987-D245)/20)*7)</f>
        <v>1.872</v>
      </c>
    </row>
    <row r="2229" ht="25.5" customHeight="1">
      <c r="A2229" s="4" t="s">
        <v>3710</v>
      </c>
      <c r="B2229" s="8"/>
      <c r="C2229" s="6" t="s">
        <v>3711</v>
      </c>
      <c r="D2229" s="12">
        <f>AVERAGE(D2231,D2221,D2226,D235)</f>
        <v>1.872</v>
      </c>
    </row>
    <row r="2230" ht="25.5" customHeight="1">
      <c r="A2230" s="4" t="s">
        <v>3712</v>
      </c>
      <c r="B2230" s="8"/>
      <c r="C2230" s="6" t="s">
        <v>402</v>
      </c>
      <c r="D2230" s="12">
        <f>D1983</f>
        <v>12.49769231</v>
      </c>
    </row>
    <row r="2231" ht="25.5" customHeight="1">
      <c r="A2231" s="4" t="s">
        <v>3713</v>
      </c>
      <c r="B2231" s="8"/>
      <c r="C2231" s="6" t="s">
        <v>1659</v>
      </c>
      <c r="D2231" s="7">
        <f>D245+(((D2987-D245)/20)*9)</f>
        <v>1.584</v>
      </c>
    </row>
    <row r="2232" ht="25.5" customHeight="1">
      <c r="A2232" s="4" t="s">
        <v>3714</v>
      </c>
      <c r="B2232" s="8"/>
      <c r="C2232" s="6" t="s">
        <v>273</v>
      </c>
      <c r="D2232" s="12">
        <f>AVERAGE(D2213,D2238)</f>
        <v>1.368</v>
      </c>
    </row>
    <row r="2233" ht="25.5" customHeight="1">
      <c r="A2233" s="4" t="s">
        <v>3715</v>
      </c>
      <c r="B2233" s="8"/>
      <c r="C2233" s="6" t="s">
        <v>1140</v>
      </c>
      <c r="D2233" s="7">
        <f>D245+(((D2987-D245)/20)*10)</f>
        <v>1.44</v>
      </c>
    </row>
    <row r="2234" ht="25.5" customHeight="1">
      <c r="A2234" s="4" t="s">
        <v>3716</v>
      </c>
      <c r="B2234" s="8"/>
      <c r="C2234" s="6" t="s">
        <v>3717</v>
      </c>
      <c r="D2234" s="12">
        <f>D2237+(((D654-D2237)/12)*9)</f>
        <v>16.9095</v>
      </c>
    </row>
    <row r="2235" ht="25.5" customHeight="1">
      <c r="A2235" s="4" t="s">
        <v>3718</v>
      </c>
      <c r="B2235" s="8"/>
      <c r="C2235" s="6" t="s">
        <v>161</v>
      </c>
      <c r="D2235" s="7">
        <f>D245+(((D2987-D245)/20)*11)</f>
        <v>1.296</v>
      </c>
    </row>
    <row r="2236" ht="25.5" customHeight="1">
      <c r="A2236" s="4" t="s">
        <v>3719</v>
      </c>
      <c r="B2236" s="8"/>
      <c r="C2236" s="6" t="s">
        <v>3521</v>
      </c>
      <c r="D2236" s="12">
        <f>D2237+(((D654-D2237)/12)*5)</f>
        <v>9.842166667</v>
      </c>
    </row>
    <row r="2237" ht="25.5" customHeight="1">
      <c r="A2237" s="4" t="s">
        <v>3720</v>
      </c>
      <c r="B2237" s="8"/>
      <c r="C2237" s="6" t="s">
        <v>3721</v>
      </c>
      <c r="D2237" s="7">
        <f>D245+(((D2987-D245)/20)*13)</f>
        <v>1.008</v>
      </c>
    </row>
    <row r="2238" ht="25.5" customHeight="1">
      <c r="A2238" s="4" t="s">
        <v>3722</v>
      </c>
      <c r="B2238" s="8"/>
      <c r="C2238" s="6" t="s">
        <v>301</v>
      </c>
      <c r="D2238" s="12">
        <f>D2235</f>
        <v>1.296</v>
      </c>
    </row>
    <row r="2239" ht="25.5" customHeight="1">
      <c r="A2239" s="4" t="s">
        <v>3723</v>
      </c>
      <c r="B2239" s="8"/>
      <c r="C2239" s="6" t="s">
        <v>1725</v>
      </c>
      <c r="D2239" s="12">
        <f>D2237+(((D654-D2237)/12)*3)</f>
        <v>6.3085</v>
      </c>
    </row>
    <row r="2240" ht="25.5" customHeight="1">
      <c r="A2240" s="4" t="s">
        <v>3724</v>
      </c>
      <c r="B2240" s="8"/>
      <c r="C2240" s="6" t="s">
        <v>3725</v>
      </c>
      <c r="D2240" s="12">
        <f>AVERAGE(D2247,D2245)</f>
        <v>1.152</v>
      </c>
    </row>
    <row r="2241" ht="25.5" customHeight="1">
      <c r="A2241" s="4" t="s">
        <v>3726</v>
      </c>
      <c r="B2241" s="8"/>
      <c r="C2241" s="6" t="s">
        <v>3727</v>
      </c>
      <c r="D2241" s="12">
        <f>D2237+(((D654-D2237)/12)*6)</f>
        <v>11.609</v>
      </c>
    </row>
    <row r="2242" ht="25.5" customHeight="1">
      <c r="A2242" s="4" t="s">
        <v>3728</v>
      </c>
      <c r="B2242" s="8"/>
      <c r="C2242" s="6" t="s">
        <v>326</v>
      </c>
      <c r="D2242" s="12">
        <f>D2237+(((D654-D2237)/12)*7)</f>
        <v>13.37583333</v>
      </c>
    </row>
    <row r="2243" ht="25.5" customHeight="1">
      <c r="A2243" s="4" t="s">
        <v>3729</v>
      </c>
      <c r="B2243" s="8"/>
      <c r="C2243" s="6" t="s">
        <v>3730</v>
      </c>
      <c r="D2243" s="12">
        <f>AVERAGE(D2241,D2242,D2212)</f>
        <v>13.37583333</v>
      </c>
    </row>
    <row r="2244" ht="25.5" customHeight="1">
      <c r="A2244" s="4" t="s">
        <v>3731</v>
      </c>
      <c r="B2244" s="8"/>
      <c r="C2244" s="6" t="s">
        <v>3732</v>
      </c>
      <c r="D2244" s="12">
        <f>D2237+(((D654-D2237)/12)*2)</f>
        <v>4.541666667</v>
      </c>
    </row>
    <row r="2245" ht="25.5" customHeight="1">
      <c r="A2245" s="4" t="s">
        <v>3733</v>
      </c>
      <c r="B2245" s="8"/>
      <c r="C2245" s="6" t="s">
        <v>197</v>
      </c>
      <c r="D2245" s="12">
        <f>D2237</f>
        <v>1.008</v>
      </c>
    </row>
    <row r="2246" ht="25.5" customHeight="1">
      <c r="A2246" s="4" t="s">
        <v>3734</v>
      </c>
      <c r="B2246" s="8"/>
      <c r="C2246" s="6" t="s">
        <v>1032</v>
      </c>
      <c r="D2246" s="12">
        <f>AVERAGE(D2244,D2222,D2236)</f>
        <v>7.486388889</v>
      </c>
    </row>
    <row r="2247" ht="25.5" customHeight="1">
      <c r="A2247" s="4" t="s">
        <v>3735</v>
      </c>
      <c r="B2247" s="11"/>
      <c r="C2247" s="6" t="s">
        <v>3736</v>
      </c>
      <c r="D2247" s="12">
        <f>D2235</f>
        <v>1.296</v>
      </c>
    </row>
    <row r="2248" ht="25.5" customHeight="1">
      <c r="A2248" s="4" t="s">
        <v>3737</v>
      </c>
      <c r="B2248" s="5" t="s">
        <v>3738</v>
      </c>
      <c r="C2248" s="6" t="s">
        <v>499</v>
      </c>
      <c r="D2248" s="12">
        <f>AVERAGE(D2314,D2268,D2275,D1205)</f>
        <v>9.890416667</v>
      </c>
    </row>
    <row r="2249" ht="25.5" customHeight="1">
      <c r="A2249" s="4" t="s">
        <v>3739</v>
      </c>
      <c r="B2249" s="8"/>
      <c r="C2249" s="6" t="s">
        <v>3740</v>
      </c>
      <c r="D2249" s="12">
        <f>D2290+(((D2310-D2290)/3)*2)</f>
        <v>36.35071315</v>
      </c>
    </row>
    <row r="2250" ht="25.5" customHeight="1">
      <c r="A2250" s="4" t="s">
        <v>3741</v>
      </c>
      <c r="B2250" s="8"/>
      <c r="C2250" s="6" t="s">
        <v>3742</v>
      </c>
      <c r="D2250" s="12">
        <f>AVERAGE(D2280,D2263,D2257,D2312)</f>
        <v>57.1278637</v>
      </c>
    </row>
    <row r="2251" ht="25.5" customHeight="1">
      <c r="A2251" s="4" t="s">
        <v>3743</v>
      </c>
      <c r="B2251" s="8"/>
      <c r="C2251" s="6" t="s">
        <v>3572</v>
      </c>
      <c r="D2251" s="12">
        <f>D2096+(((D2249-D2096)/3)*2)</f>
        <v>56.72380877</v>
      </c>
    </row>
    <row r="2252" ht="25.5" customHeight="1">
      <c r="A2252" s="4" t="s">
        <v>3744</v>
      </c>
      <c r="B2252" s="8"/>
      <c r="C2252" s="6" t="s">
        <v>3745</v>
      </c>
      <c r="D2252" s="12">
        <f>D1216+(((D2310-D1216)/5)*2)</f>
        <v>9.678427893</v>
      </c>
    </row>
    <row r="2253" ht="25.5" customHeight="1">
      <c r="A2253" s="4" t="s">
        <v>3746</v>
      </c>
      <c r="B2253" s="8"/>
      <c r="C2253" s="6" t="s">
        <v>3747</v>
      </c>
      <c r="D2253" s="12">
        <f>D2285+(((D1931-D2285)/5)*1)</f>
        <v>11.46022222</v>
      </c>
    </row>
    <row r="2254" ht="25.5" customHeight="1">
      <c r="A2254" s="4" t="s">
        <v>3748</v>
      </c>
      <c r="B2254" s="8"/>
      <c r="C2254" s="6" t="s">
        <v>3749</v>
      </c>
      <c r="D2254" s="12">
        <f>AVERAGE(D2261,D2252)</f>
        <v>33.36133516</v>
      </c>
    </row>
    <row r="2255" ht="25.5" customHeight="1">
      <c r="A2255" s="4" t="s">
        <v>3750</v>
      </c>
      <c r="B2255" s="8"/>
      <c r="C2255" s="6" t="s">
        <v>655</v>
      </c>
      <c r="D2255" s="12">
        <f>AVERAGE(D2305,D1992)</f>
        <v>7.422944444</v>
      </c>
    </row>
    <row r="2256" ht="25.5" customHeight="1">
      <c r="A2256" s="4" t="s">
        <v>3751</v>
      </c>
      <c r="B2256" s="8"/>
      <c r="C2256" s="6" t="s">
        <v>3752</v>
      </c>
      <c r="D2256" s="12">
        <f>D1924+(((D2270-D1924)/3)*1)</f>
        <v>3.93</v>
      </c>
    </row>
    <row r="2257" ht="25.5" customHeight="1">
      <c r="A2257" s="4" t="s">
        <v>3753</v>
      </c>
      <c r="B2257" s="8"/>
      <c r="C2257" s="6" t="s">
        <v>80</v>
      </c>
      <c r="D2257" s="12">
        <f>D2290+(((D2310-D2290)/3)*1)</f>
        <v>66.91035658</v>
      </c>
    </row>
    <row r="2258" ht="25.5" customHeight="1">
      <c r="A2258" s="4" t="s">
        <v>3754</v>
      </c>
      <c r="B2258" s="8"/>
      <c r="C2258" s="6" t="s">
        <v>3755</v>
      </c>
      <c r="D2258" s="12">
        <f>AVERAGE(D2264,D2254,D2303)</f>
        <v>35.62445698</v>
      </c>
    </row>
    <row r="2259" ht="25.5" customHeight="1">
      <c r="A2259" s="4" t="s">
        <v>3756</v>
      </c>
      <c r="B2259" s="8"/>
      <c r="C2259" s="6" t="s">
        <v>1952</v>
      </c>
      <c r="D2259" s="12">
        <f>AVERAGE(D2264,D2265)</f>
        <v>57.04424242</v>
      </c>
    </row>
    <row r="2260" ht="25.5" customHeight="1">
      <c r="A2260" s="4" t="s">
        <v>3757</v>
      </c>
      <c r="B2260" s="8"/>
      <c r="C2260" s="6" t="s">
        <v>2731</v>
      </c>
      <c r="D2260" s="12">
        <f>D2287+(((D1920-D2287)/5)*1)</f>
        <v>10.58666667</v>
      </c>
    </row>
    <row r="2261" ht="25.5" customHeight="1">
      <c r="A2261" s="4" t="s">
        <v>3758</v>
      </c>
      <c r="B2261" s="8"/>
      <c r="C2261" s="6" t="s">
        <v>3759</v>
      </c>
      <c r="D2261" s="12">
        <f>D2290+(((D2287-D2290)/11)*5)</f>
        <v>57.04424242</v>
      </c>
    </row>
    <row r="2262" ht="25.5" customHeight="1">
      <c r="A2262" s="4" t="s">
        <v>3760</v>
      </c>
      <c r="B2262" s="8"/>
      <c r="C2262" s="9" t="s">
        <v>3761</v>
      </c>
      <c r="D2262" s="12">
        <v>0.0</v>
      </c>
      <c r="E2262" s="10" t="s">
        <v>3761</v>
      </c>
    </row>
    <row r="2263" ht="25.5" customHeight="1">
      <c r="A2263" s="4" t="s">
        <v>3762</v>
      </c>
      <c r="B2263" s="8"/>
      <c r="C2263" s="6" t="s">
        <v>3763</v>
      </c>
      <c r="D2263" s="12">
        <f>D2290+(((D2287-D2290)/11)*2)</f>
        <v>81.29969697</v>
      </c>
    </row>
    <row r="2264" ht="25.5" customHeight="1">
      <c r="A2264" s="4" t="s">
        <v>3764</v>
      </c>
      <c r="B2264" s="8"/>
      <c r="C2264" s="6" t="s">
        <v>3765</v>
      </c>
      <c r="D2264" s="12">
        <f>D2290+(((D2287-D2290)/11)*4)</f>
        <v>65.12939394</v>
      </c>
    </row>
    <row r="2265" ht="25.5" customHeight="1">
      <c r="A2265" s="4" t="s">
        <v>3766</v>
      </c>
      <c r="B2265" s="8"/>
      <c r="C2265" s="6" t="s">
        <v>1091</v>
      </c>
      <c r="D2265" s="12">
        <f>D2290+(((D2287-D2290)/11)*6)</f>
        <v>48.95909091</v>
      </c>
    </row>
    <row r="2266" ht="25.5" customHeight="1">
      <c r="A2266" s="4" t="s">
        <v>3767</v>
      </c>
      <c r="B2266" s="8"/>
      <c r="C2266" s="6" t="s">
        <v>228</v>
      </c>
      <c r="D2266" s="12">
        <f>D2290+(((D2287-D2290)/11)*10)</f>
        <v>16.61848485</v>
      </c>
    </row>
    <row r="2267" ht="25.5" customHeight="1">
      <c r="A2267" s="4" t="s">
        <v>3768</v>
      </c>
      <c r="B2267" s="8"/>
      <c r="C2267" s="6" t="s">
        <v>234</v>
      </c>
      <c r="D2267" s="12">
        <f>AVERAGE(D2272,D2290)</f>
        <v>55.72135057</v>
      </c>
    </row>
    <row r="2268" ht="25.5" customHeight="1">
      <c r="A2268" s="4" t="s">
        <v>3769</v>
      </c>
      <c r="B2268" s="8"/>
      <c r="C2268" s="6" t="s">
        <v>1315</v>
      </c>
      <c r="D2268" s="12">
        <f>D2269+(((D1216-D2269)/3)*1)</f>
        <v>12.62333333</v>
      </c>
    </row>
    <row r="2269" ht="25.5" customHeight="1">
      <c r="A2269" s="4" t="s">
        <v>3770</v>
      </c>
      <c r="B2269" s="8"/>
      <c r="C2269" s="9" t="s">
        <v>3771</v>
      </c>
      <c r="D2269" s="12">
        <v>12.8</v>
      </c>
      <c r="E2269" s="10" t="s">
        <v>3772</v>
      </c>
    </row>
    <row r="2270" ht="25.5" customHeight="1">
      <c r="A2270" s="4" t="s">
        <v>3773</v>
      </c>
      <c r="B2270" s="8"/>
      <c r="C2270" s="9" t="s">
        <v>1098</v>
      </c>
      <c r="D2270" s="12">
        <f>D2262</f>
        <v>0</v>
      </c>
      <c r="E2270" s="13" t="s">
        <v>3761</v>
      </c>
    </row>
    <row r="2271" ht="25.5" customHeight="1">
      <c r="A2271" s="4" t="s">
        <v>3774</v>
      </c>
      <c r="B2271" s="8"/>
      <c r="C2271" s="6" t="s">
        <v>1616</v>
      </c>
      <c r="D2271" s="12">
        <f>AVERAGE(D2280,D2264)</f>
        <v>69.1719697</v>
      </c>
    </row>
    <row r="2272" ht="25.5" customHeight="1">
      <c r="A2272" s="4" t="s">
        <v>3775</v>
      </c>
      <c r="B2272" s="8"/>
      <c r="C2272" s="6" t="s">
        <v>3370</v>
      </c>
      <c r="D2272" s="12">
        <f>D1990+(((D2064-D1990)/10)*7)</f>
        <v>13.97270115</v>
      </c>
    </row>
    <row r="2273" ht="25.5" customHeight="1">
      <c r="A2273" s="4" t="s">
        <v>3776</v>
      </c>
      <c r="B2273" s="8"/>
      <c r="C2273" s="6" t="s">
        <v>124</v>
      </c>
      <c r="D2273" s="12">
        <f>AVERAGE(D2277,D2310,D2312,D2303,D1206,D3106,D3098)</f>
        <v>7.812989644</v>
      </c>
    </row>
    <row r="2274" ht="25.5" customHeight="1">
      <c r="A2274" s="4" t="s">
        <v>3777</v>
      </c>
      <c r="B2274" s="8"/>
      <c r="C2274" s="6" t="s">
        <v>3778</v>
      </c>
      <c r="D2274" s="12">
        <f>AVERAGE(D2308,D2263,D2280)</f>
        <v>81.29969697</v>
      </c>
    </row>
    <row r="2275" ht="25.5" customHeight="1">
      <c r="A2275" s="4" t="s">
        <v>3779</v>
      </c>
      <c r="B2275" s="8"/>
      <c r="C2275" s="6" t="s">
        <v>126</v>
      </c>
      <c r="D2275" s="12">
        <f>D2269+(((D1216-D2269)/3)*2)</f>
        <v>12.44666667</v>
      </c>
    </row>
    <row r="2276" ht="25.5" customHeight="1">
      <c r="A2276" s="4" t="s">
        <v>3780</v>
      </c>
      <c r="B2276" s="8"/>
      <c r="C2276" s="6" t="s">
        <v>248</v>
      </c>
      <c r="D2276" s="12">
        <f>D1216+(((D2310-D1216)/5)*1)</f>
        <v>10.97421395</v>
      </c>
    </row>
    <row r="2277" ht="25.5" customHeight="1">
      <c r="A2277" s="4" t="s">
        <v>3781</v>
      </c>
      <c r="B2277" s="8"/>
      <c r="C2277" s="6" t="s">
        <v>130</v>
      </c>
      <c r="D2277" s="12">
        <f>D3102+(((D3087-D3102)/10)*2)</f>
        <v>6.774139464</v>
      </c>
    </row>
    <row r="2278" ht="25.5" customHeight="1">
      <c r="A2278" s="4" t="s">
        <v>3782</v>
      </c>
      <c r="B2278" s="8"/>
      <c r="C2278" s="6" t="s">
        <v>3783</v>
      </c>
      <c r="D2278" s="12">
        <f>AVERAGE(D2261,D2254,D2252,D2276,D2275)</f>
        <v>24.70097722</v>
      </c>
    </row>
    <row r="2279" ht="25.5" customHeight="1">
      <c r="A2279" s="4" t="s">
        <v>3784</v>
      </c>
      <c r="B2279" s="8"/>
      <c r="C2279" s="6" t="s">
        <v>3785</v>
      </c>
      <c r="D2279" s="12">
        <f>AVERAGE(D2280,D2264,D2312)</f>
        <v>48.47693173</v>
      </c>
    </row>
    <row r="2280" ht="25.5" customHeight="1">
      <c r="A2280" s="4" t="s">
        <v>3786</v>
      </c>
      <c r="B2280" s="8"/>
      <c r="C2280" s="6" t="s">
        <v>140</v>
      </c>
      <c r="D2280" s="12">
        <f>D2290+(((D2287-D2290)/11)*3)</f>
        <v>73.21454545</v>
      </c>
    </row>
    <row r="2281" ht="25.5" customHeight="1">
      <c r="A2281" s="4" t="s">
        <v>3787</v>
      </c>
      <c r="B2281" s="8"/>
      <c r="C2281" s="6" t="s">
        <v>3788</v>
      </c>
      <c r="D2281" s="12">
        <f>AVERAGE(D2278,D2291,D2302,D2297)</f>
        <v>32.79997915</v>
      </c>
    </row>
    <row r="2282" ht="25.5" customHeight="1">
      <c r="A2282" s="4" t="s">
        <v>3789</v>
      </c>
      <c r="B2282" s="8"/>
      <c r="C2282" s="6" t="s">
        <v>3790</v>
      </c>
      <c r="D2282" s="12">
        <f>D2022+(((D2269-D2022)/9)*5)</f>
        <v>7.111111111</v>
      </c>
    </row>
    <row r="2283" ht="25.5" customHeight="1">
      <c r="A2283" s="4" t="s">
        <v>3791</v>
      </c>
      <c r="B2283" s="8"/>
      <c r="C2283" s="6" t="s">
        <v>3149</v>
      </c>
      <c r="D2283" s="12">
        <f>D2269+(((D2262-D2269)/2)*1)</f>
        <v>6.4</v>
      </c>
    </row>
    <row r="2284" ht="25.5" customHeight="1">
      <c r="A2284" s="4" t="s">
        <v>3792</v>
      </c>
      <c r="B2284" s="8"/>
      <c r="C2284" s="6" t="s">
        <v>147</v>
      </c>
      <c r="D2284" s="12">
        <f>D2096+(((D2249-D2096)/3)*1)</f>
        <v>77.09690438</v>
      </c>
    </row>
    <row r="2285" ht="25.5" customHeight="1">
      <c r="A2285" s="4" t="s">
        <v>3793</v>
      </c>
      <c r="B2285" s="8"/>
      <c r="C2285" s="6" t="s">
        <v>3794</v>
      </c>
      <c r="D2285" s="12">
        <f>D2022+(((D2269-D2022)/9)*8)</f>
        <v>11.37777778</v>
      </c>
    </row>
    <row r="2286" ht="25.5" customHeight="1">
      <c r="A2286" s="4" t="s">
        <v>3795</v>
      </c>
      <c r="B2286" s="8"/>
      <c r="C2286" s="6" t="s">
        <v>3796</v>
      </c>
      <c r="D2286" s="12">
        <f>D2285+(((D1931-D2285)/5)*2)</f>
        <v>11.54266667</v>
      </c>
    </row>
    <row r="2287" ht="25.5" customHeight="1">
      <c r="A2287" s="4" t="s">
        <v>3797</v>
      </c>
      <c r="B2287" s="8"/>
      <c r="C2287" s="6" t="s">
        <v>3798</v>
      </c>
      <c r="D2287" s="12">
        <f>D2022+(((D2269-D2022)/9)*6)</f>
        <v>8.533333333</v>
      </c>
    </row>
    <row r="2288" ht="25.5" customHeight="1">
      <c r="A2288" s="4" t="s">
        <v>3799</v>
      </c>
      <c r="B2288" s="8"/>
      <c r="C2288" s="6" t="s">
        <v>3800</v>
      </c>
      <c r="D2288" s="12">
        <f>D2296</f>
        <v>32.78878788</v>
      </c>
    </row>
    <row r="2289" ht="25.5" customHeight="1">
      <c r="A2289" s="4" t="s">
        <v>3801</v>
      </c>
      <c r="B2289" s="8"/>
      <c r="C2289" s="6" t="s">
        <v>3802</v>
      </c>
      <c r="D2289" s="12">
        <f>AVERAGE(D1989,D1986)</f>
        <v>10.80176724</v>
      </c>
    </row>
    <row r="2290" ht="25.5" customHeight="1">
      <c r="A2290" s="4" t="s">
        <v>3803</v>
      </c>
      <c r="B2290" s="8"/>
      <c r="C2290" s="6" t="s">
        <v>1388</v>
      </c>
      <c r="D2290" s="12">
        <f>D2124</f>
        <v>97.47</v>
      </c>
    </row>
    <row r="2291" ht="25.5" customHeight="1">
      <c r="A2291" s="4" t="s">
        <v>3804</v>
      </c>
      <c r="B2291" s="8"/>
      <c r="C2291" s="6" t="s">
        <v>3805</v>
      </c>
      <c r="D2291" s="12">
        <f>D2261</f>
        <v>57.04424242</v>
      </c>
    </row>
    <row r="2292" ht="25.5" customHeight="1">
      <c r="A2292" s="4" t="s">
        <v>3806</v>
      </c>
      <c r="B2292" s="8"/>
      <c r="C2292" s="6" t="s">
        <v>167</v>
      </c>
      <c r="D2292" s="12">
        <f>D2287+(((D1920-D2287)/5)*2)</f>
        <v>12.64</v>
      </c>
    </row>
    <row r="2293" ht="25.5" customHeight="1">
      <c r="A2293" s="4" t="s">
        <v>3807</v>
      </c>
      <c r="B2293" s="8"/>
      <c r="C2293" s="6" t="s">
        <v>169</v>
      </c>
      <c r="D2293" s="12">
        <f>D2256+(((D2262-D2256)/2)*1)</f>
        <v>1.965</v>
      </c>
    </row>
    <row r="2294" ht="25.5" customHeight="1">
      <c r="A2294" s="4" t="s">
        <v>3808</v>
      </c>
      <c r="B2294" s="8"/>
      <c r="C2294" s="6" t="s">
        <v>3809</v>
      </c>
      <c r="D2294" s="12">
        <f>D2290+(((D2287-D2290)/11)*9)</f>
        <v>24.70363636</v>
      </c>
    </row>
    <row r="2295" ht="25.5" customHeight="1">
      <c r="A2295" s="4" t="s">
        <v>3810</v>
      </c>
      <c r="B2295" s="8"/>
      <c r="C2295" s="6" t="s">
        <v>2925</v>
      </c>
      <c r="D2295" s="12">
        <f>D2285+(((D1931-D2285)/5)*3)</f>
        <v>11.62511111</v>
      </c>
    </row>
    <row r="2296" ht="25.5" customHeight="1">
      <c r="A2296" s="4" t="s">
        <v>3811</v>
      </c>
      <c r="B2296" s="8"/>
      <c r="C2296" s="6" t="s">
        <v>3812</v>
      </c>
      <c r="D2296" s="12">
        <f>D2290+(((D2287-D2290)/11)*8)</f>
        <v>32.78878788</v>
      </c>
    </row>
    <row r="2297" ht="25.5" customHeight="1">
      <c r="A2297" s="4" t="s">
        <v>3813</v>
      </c>
      <c r="B2297" s="8"/>
      <c r="C2297" s="6" t="s">
        <v>173</v>
      </c>
      <c r="D2297" s="12">
        <f>AVERAGE(D2269,D2268,D2275)</f>
        <v>12.62333333</v>
      </c>
    </row>
    <row r="2298" ht="25.5" customHeight="1">
      <c r="A2298" s="4" t="s">
        <v>3814</v>
      </c>
      <c r="B2298" s="8"/>
      <c r="C2298" s="6" t="s">
        <v>3815</v>
      </c>
      <c r="D2298" s="12">
        <f>D1924+(((D2270-D1924)/3)*2)</f>
        <v>1.965</v>
      </c>
    </row>
    <row r="2299" ht="25.5" customHeight="1">
      <c r="A2299" s="4" t="s">
        <v>3816</v>
      </c>
      <c r="B2299" s="8"/>
      <c r="C2299" s="6" t="s">
        <v>177</v>
      </c>
      <c r="D2299" s="12">
        <f>D2282+(((D2020-D2282)/3)*2)</f>
        <v>15.30237037</v>
      </c>
    </row>
    <row r="2300" ht="25.5" customHeight="1">
      <c r="A2300" s="4" t="s">
        <v>3817</v>
      </c>
      <c r="B2300" s="8"/>
      <c r="C2300" s="6" t="s">
        <v>3818</v>
      </c>
      <c r="D2300" s="12">
        <f>AVERAGE(D2265,D1986)</f>
        <v>29.57561155</v>
      </c>
    </row>
    <row r="2301" ht="25.5" customHeight="1">
      <c r="A2301" s="4" t="s">
        <v>3819</v>
      </c>
      <c r="B2301" s="8"/>
      <c r="C2301" s="6" t="s">
        <v>3820</v>
      </c>
      <c r="D2301" s="12">
        <f>D2022+(((D2269-D2022)/9)*7)</f>
        <v>9.955555556</v>
      </c>
    </row>
    <row r="2302" ht="25.5" customHeight="1">
      <c r="A2302" s="4" t="s">
        <v>3821</v>
      </c>
      <c r="B2302" s="8"/>
      <c r="C2302" s="6" t="s">
        <v>3822</v>
      </c>
      <c r="D2302" s="12">
        <f>AVERAGE(D2307,D2296)</f>
        <v>36.83136364</v>
      </c>
    </row>
    <row r="2303" ht="25.5" customHeight="1">
      <c r="A2303" s="4" t="s">
        <v>3823</v>
      </c>
      <c r="B2303" s="8"/>
      <c r="C2303" s="6" t="s">
        <v>2107</v>
      </c>
      <c r="D2303" s="12">
        <f>D1216+(((D2310-D1216)/5)*3)</f>
        <v>8.382641839</v>
      </c>
    </row>
    <row r="2304" ht="25.5" customHeight="1">
      <c r="A2304" s="4" t="s">
        <v>3824</v>
      </c>
      <c r="B2304" s="8"/>
      <c r="C2304" s="6" t="s">
        <v>1553</v>
      </c>
      <c r="D2304" s="12">
        <f>AVERAGE(D2288,D2266,D2287)</f>
        <v>19.31353535</v>
      </c>
    </row>
    <row r="2305" ht="25.5" customHeight="1">
      <c r="A2305" s="4" t="s">
        <v>3825</v>
      </c>
      <c r="B2305" s="8"/>
      <c r="C2305" s="6" t="s">
        <v>3826</v>
      </c>
      <c r="D2305" s="12">
        <f>D2022+(((D2269-D2022)/9)*4)</f>
        <v>5.688888889</v>
      </c>
    </row>
    <row r="2306" ht="25.5" customHeight="1">
      <c r="A2306" s="4" t="s">
        <v>3827</v>
      </c>
      <c r="B2306" s="8"/>
      <c r="C2306" s="6" t="s">
        <v>3423</v>
      </c>
      <c r="D2306" s="12">
        <f>AVERAGE(D2288,D2035)</f>
        <v>20.88082497</v>
      </c>
    </row>
    <row r="2307" ht="25.5" customHeight="1">
      <c r="A2307" s="4" t="s">
        <v>3828</v>
      </c>
      <c r="B2307" s="8"/>
      <c r="C2307" s="6" t="s">
        <v>326</v>
      </c>
      <c r="D2307" s="12">
        <f>D2290+(((D2287-D2290)/11)*7)</f>
        <v>40.87393939</v>
      </c>
    </row>
    <row r="2308" ht="25.5" customHeight="1">
      <c r="A2308" s="4" t="s">
        <v>3829</v>
      </c>
      <c r="B2308" s="8"/>
      <c r="C2308" s="6" t="s">
        <v>3830</v>
      </c>
      <c r="D2308" s="12">
        <f>D2290+(((D2287-D2290)/11)*1)</f>
        <v>89.38484848</v>
      </c>
    </row>
    <row r="2309" ht="25.5" customHeight="1">
      <c r="A2309" s="4" t="s">
        <v>3831</v>
      </c>
      <c r="B2309" s="8"/>
      <c r="C2309" s="6" t="s">
        <v>1025</v>
      </c>
      <c r="D2309" s="12">
        <f>AVERAGE(D2267,D2272,D1991,D1989,D2308)</f>
        <v>36.62419498</v>
      </c>
    </row>
    <row r="2310" ht="25.5" customHeight="1">
      <c r="A2310" s="4" t="s">
        <v>3832</v>
      </c>
      <c r="B2310" s="8"/>
      <c r="C2310" s="6" t="s">
        <v>197</v>
      </c>
      <c r="D2310" s="12">
        <f>D3102+(((D3087-D3102)/10)*1)</f>
        <v>5.791069732</v>
      </c>
    </row>
    <row r="2311" ht="25.5" customHeight="1">
      <c r="A2311" s="4" t="s">
        <v>3833</v>
      </c>
      <c r="B2311" s="8"/>
      <c r="C2311" s="6" t="s">
        <v>1028</v>
      </c>
      <c r="D2311" s="12">
        <f>D2282+(((D2020-D2282)/3)*1)</f>
        <v>11.20674074</v>
      </c>
    </row>
    <row r="2312" ht="25.5" customHeight="1">
      <c r="A2312" s="4" t="s">
        <v>3834</v>
      </c>
      <c r="B2312" s="8"/>
      <c r="C2312" s="6" t="s">
        <v>3835</v>
      </c>
      <c r="D2312" s="12">
        <f>D1216+(((D2310-D1216)/5)*4)</f>
        <v>7.086855785</v>
      </c>
    </row>
    <row r="2313" ht="25.5" customHeight="1">
      <c r="A2313" s="4" t="s">
        <v>3836</v>
      </c>
      <c r="B2313" s="8"/>
      <c r="C2313" s="6" t="s">
        <v>3435</v>
      </c>
      <c r="D2313" s="12">
        <f>AVERAGE(D2287,D2282,D2305)</f>
        <v>7.111111111</v>
      </c>
    </row>
    <row r="2314" ht="25.5" customHeight="1">
      <c r="A2314" s="4" t="s">
        <v>3837</v>
      </c>
      <c r="B2314" s="11"/>
      <c r="C2314" s="6" t="s">
        <v>2145</v>
      </c>
      <c r="D2314" s="12">
        <f>AVERAGE(D2268,D1198)</f>
        <v>6.311666667</v>
      </c>
    </row>
    <row r="2315" ht="25.5" customHeight="1">
      <c r="A2315" s="4" t="s">
        <v>3838</v>
      </c>
      <c r="B2315" s="5" t="s">
        <v>3839</v>
      </c>
      <c r="C2315" s="6" t="s">
        <v>2050</v>
      </c>
      <c r="D2315" s="12">
        <f>D1183</f>
        <v>14.04</v>
      </c>
    </row>
    <row r="2316" ht="25.5" customHeight="1">
      <c r="A2316" s="4" t="s">
        <v>3840</v>
      </c>
      <c r="B2316" s="8"/>
      <c r="C2316" s="6" t="s">
        <v>641</v>
      </c>
      <c r="D2316" s="7">
        <f>D319+(((D1183-D319)/7)*5)</f>
        <v>11.79542857</v>
      </c>
    </row>
    <row r="2317" ht="25.5" customHeight="1">
      <c r="A2317" s="4" t="s">
        <v>3841</v>
      </c>
      <c r="B2317" s="8"/>
      <c r="C2317" s="6" t="s">
        <v>3842</v>
      </c>
      <c r="D2317" s="12">
        <f>D1183</f>
        <v>14.04</v>
      </c>
    </row>
    <row r="2318" ht="25.5" customHeight="1">
      <c r="A2318" s="4" t="s">
        <v>3843</v>
      </c>
      <c r="B2318" s="8"/>
      <c r="C2318" s="6" t="s">
        <v>3844</v>
      </c>
      <c r="D2318" s="7">
        <f>D319+(((D1183-D319)/7)*6)</f>
        <v>12.91771429</v>
      </c>
    </row>
    <row r="2319" ht="25.5" customHeight="1">
      <c r="A2319" s="4" t="s">
        <v>3845</v>
      </c>
      <c r="B2319" s="11"/>
      <c r="C2319" s="6" t="s">
        <v>197</v>
      </c>
      <c r="D2319" s="7">
        <f>D319+(((D1183-D319)/7)*4)</f>
        <v>10.67314286</v>
      </c>
    </row>
    <row r="2320" ht="25.5" customHeight="1">
      <c r="A2320" s="4" t="s">
        <v>3846</v>
      </c>
      <c r="B2320" s="5" t="s">
        <v>3847</v>
      </c>
      <c r="C2320" s="6" t="s">
        <v>3848</v>
      </c>
      <c r="D2320" s="12">
        <f>AVERAGE(D2349,D2323)</f>
        <v>9.398793103</v>
      </c>
    </row>
    <row r="2321" ht="25.5" customHeight="1">
      <c r="A2321" s="4" t="s">
        <v>3849</v>
      </c>
      <c r="B2321" s="8"/>
      <c r="C2321" s="6" t="s">
        <v>3850</v>
      </c>
      <c r="D2321" s="7">
        <f>D434+(((D2351-D434)/11)*10)</f>
        <v>14.25691958</v>
      </c>
    </row>
    <row r="2322" ht="25.5" customHeight="1">
      <c r="A2322" s="4" t="s">
        <v>3851</v>
      </c>
      <c r="B2322" s="8"/>
      <c r="C2322" s="6" t="s">
        <v>3852</v>
      </c>
      <c r="D2322" s="12">
        <f>AVERAGE(D2344)</f>
        <v>23.04857143</v>
      </c>
    </row>
    <row r="2323" ht="25.5" customHeight="1">
      <c r="A2323" s="4" t="s">
        <v>3853</v>
      </c>
      <c r="B2323" s="8"/>
      <c r="C2323" s="6" t="s">
        <v>1581</v>
      </c>
      <c r="D2323" s="12">
        <f>D2903+(((D434-D2903)/29)*21)</f>
        <v>9.746896552</v>
      </c>
    </row>
    <row r="2324" ht="25.5" customHeight="1">
      <c r="A2324" s="4" t="s">
        <v>3854</v>
      </c>
      <c r="B2324" s="8"/>
      <c r="C2324" s="6" t="s">
        <v>3855</v>
      </c>
      <c r="D2324" s="12">
        <f>AVERAGE(D2334,D2357)</f>
        <v>19.20714286</v>
      </c>
    </row>
    <row r="2325" ht="25.5" customHeight="1">
      <c r="A2325" s="4" t="s">
        <v>3856</v>
      </c>
      <c r="B2325" s="8"/>
      <c r="C2325" s="6" t="s">
        <v>3857</v>
      </c>
      <c r="D2325" s="12">
        <f>AVERAGE(D2357,D2321)</f>
        <v>15.77167408</v>
      </c>
    </row>
    <row r="2326" ht="25.5" customHeight="1">
      <c r="A2326" s="4" t="s">
        <v>3858</v>
      </c>
      <c r="B2326" s="8"/>
      <c r="C2326" s="6" t="s">
        <v>2828</v>
      </c>
      <c r="D2326" s="12">
        <f>D2346</f>
        <v>24.96928571</v>
      </c>
    </row>
    <row r="2327" ht="25.5" customHeight="1">
      <c r="A2327" s="4" t="s">
        <v>3859</v>
      </c>
      <c r="B2327" s="8"/>
      <c r="C2327" s="6" t="s">
        <v>3860</v>
      </c>
      <c r="D2327" s="12">
        <f>AVERAGE(D2333,D2357,D2337)</f>
        <v>17.28642857</v>
      </c>
    </row>
    <row r="2328" ht="25.5" customHeight="1">
      <c r="A2328" s="4" t="s">
        <v>3861</v>
      </c>
      <c r="B2328" s="8"/>
      <c r="C2328" s="6" t="s">
        <v>82</v>
      </c>
      <c r="D2328" s="12">
        <f>D1717+(((D2357-D1717)/7)*6)</f>
        <v>15.81152006</v>
      </c>
    </row>
    <row r="2329" ht="25.5" customHeight="1">
      <c r="A2329" s="4" t="s">
        <v>3862</v>
      </c>
      <c r="B2329" s="8"/>
      <c r="C2329" s="6" t="s">
        <v>3863</v>
      </c>
      <c r="D2329" s="12">
        <f>AVERAGE(D2327,D2337,D2334)</f>
        <v>19.20714286</v>
      </c>
    </row>
    <row r="2330" ht="25.5" customHeight="1">
      <c r="A2330" s="4" t="s">
        <v>3864</v>
      </c>
      <c r="B2330" s="8"/>
      <c r="C2330" s="6" t="s">
        <v>86</v>
      </c>
      <c r="D2330" s="12">
        <f>D2903+(((D434-D2903)/29)*18)</f>
        <v>8.354482759</v>
      </c>
    </row>
    <row r="2331" ht="25.5" customHeight="1">
      <c r="A2331" s="4" t="s">
        <v>3865</v>
      </c>
      <c r="B2331" s="8"/>
      <c r="C2331" s="6" t="s">
        <v>3761</v>
      </c>
      <c r="D2331" s="12">
        <f>D1717+(((D2357-D1717)/7)*2)</f>
        <v>9.911885996</v>
      </c>
    </row>
    <row r="2332" ht="25.5" customHeight="1">
      <c r="A2332" s="4" t="s">
        <v>3866</v>
      </c>
      <c r="B2332" s="8"/>
      <c r="C2332" s="6" t="s">
        <v>3867</v>
      </c>
      <c r="D2332" s="12">
        <f>AVERAGE(D2347,D2335)</f>
        <v>12.19299437</v>
      </c>
    </row>
    <row r="2333" ht="25.5" customHeight="1">
      <c r="A2333" s="4" t="s">
        <v>3868</v>
      </c>
      <c r="B2333" s="8"/>
      <c r="C2333" s="6" t="s">
        <v>3869</v>
      </c>
      <c r="D2333" s="12">
        <f>D1755+(((D365-D1755)/28)*8)</f>
        <v>15.36571429</v>
      </c>
    </row>
    <row r="2334" ht="25.5" customHeight="1">
      <c r="A2334" s="4" t="s">
        <v>3870</v>
      </c>
      <c r="B2334" s="8"/>
      <c r="C2334" s="6" t="s">
        <v>3871</v>
      </c>
      <c r="D2334" s="12">
        <f>D1755+(((D365-D1755)/28)*11)</f>
        <v>21.12785714</v>
      </c>
    </row>
    <row r="2335" ht="25.5" customHeight="1">
      <c r="A2335" s="4" t="s">
        <v>3872</v>
      </c>
      <c r="B2335" s="8"/>
      <c r="C2335" s="6" t="s">
        <v>3873</v>
      </c>
      <c r="D2335" s="12">
        <f>D2359+(((D2340-D2359)/4)*3)</f>
        <v>11.85864004</v>
      </c>
    </row>
    <row r="2336" ht="25.5" customHeight="1">
      <c r="A2336" s="4" t="s">
        <v>3874</v>
      </c>
      <c r="B2336" s="8"/>
      <c r="C2336" s="6" t="s">
        <v>3875</v>
      </c>
      <c r="D2336" s="12">
        <f>D1755+(((D365-D1755)/28)*5)</f>
        <v>9.603571429</v>
      </c>
    </row>
    <row r="2337" ht="25.5" customHeight="1">
      <c r="A2337" s="4" t="s">
        <v>3876</v>
      </c>
      <c r="B2337" s="8"/>
      <c r="C2337" s="6" t="s">
        <v>2092</v>
      </c>
      <c r="D2337" s="12">
        <f>D1755+(((D365-D1755)/28)*10)</f>
        <v>19.20714286</v>
      </c>
    </row>
    <row r="2338" ht="25.5" customHeight="1">
      <c r="A2338" s="4" t="s">
        <v>3877</v>
      </c>
      <c r="B2338" s="8"/>
      <c r="C2338" s="6" t="s">
        <v>3878</v>
      </c>
      <c r="D2338" s="12">
        <f>AVERAGE(D2321,D426)</f>
        <v>14.17722762</v>
      </c>
    </row>
    <row r="2339" ht="25.5" customHeight="1">
      <c r="A2339" s="4" t="s">
        <v>3879</v>
      </c>
      <c r="B2339" s="8"/>
      <c r="C2339" s="6" t="s">
        <v>3473</v>
      </c>
      <c r="D2339" s="12">
        <f>D1717+(((D2357-D1717)/7)*3)</f>
        <v>11.38679451</v>
      </c>
    </row>
    <row r="2340" ht="25.5" customHeight="1">
      <c r="A2340" s="4" t="s">
        <v>3880</v>
      </c>
      <c r="B2340" s="8"/>
      <c r="C2340" s="6" t="s">
        <v>3881</v>
      </c>
      <c r="D2340" s="12">
        <f>D1755+(((D365-D1755)/28)*6)</f>
        <v>11.52428571</v>
      </c>
    </row>
    <row r="2341" ht="25.5" customHeight="1">
      <c r="A2341" s="4" t="s">
        <v>3882</v>
      </c>
      <c r="B2341" s="8"/>
      <c r="C2341" s="6" t="s">
        <v>3883</v>
      </c>
      <c r="D2341" s="12">
        <f>D2333</f>
        <v>15.36571429</v>
      </c>
    </row>
    <row r="2342" ht="25.5" customHeight="1">
      <c r="A2342" s="4" t="s">
        <v>3884</v>
      </c>
      <c r="B2342" s="8"/>
      <c r="C2342" s="6" t="s">
        <v>3885</v>
      </c>
      <c r="D2342" s="12">
        <f>D2903+(((D434-D2903)/29)*20)</f>
        <v>9.282758621</v>
      </c>
    </row>
    <row r="2343" ht="25.5" customHeight="1">
      <c r="A2343" s="4" t="s">
        <v>3886</v>
      </c>
      <c r="B2343" s="8"/>
      <c r="C2343" s="6" t="s">
        <v>1636</v>
      </c>
      <c r="D2343" s="12">
        <f>AVERAGE(D2355,D2349)</f>
        <v>10.37217013</v>
      </c>
    </row>
    <row r="2344" ht="25.5" customHeight="1">
      <c r="A2344" s="4" t="s">
        <v>3887</v>
      </c>
      <c r="B2344" s="8"/>
      <c r="C2344" s="6" t="s">
        <v>3888</v>
      </c>
      <c r="D2344" s="12">
        <f>D1755+(((D365-D1755)/28)*12)</f>
        <v>23.04857143</v>
      </c>
    </row>
    <row r="2345" ht="25.5" customHeight="1">
      <c r="A2345" s="4" t="s">
        <v>3889</v>
      </c>
      <c r="B2345" s="8"/>
      <c r="C2345" s="6" t="s">
        <v>3890</v>
      </c>
      <c r="D2345" s="12">
        <f>D2340</f>
        <v>11.52428571</v>
      </c>
    </row>
    <row r="2346" ht="25.5" customHeight="1">
      <c r="A2346" s="4" t="s">
        <v>3891</v>
      </c>
      <c r="B2346" s="8"/>
      <c r="C2346" s="6" t="s">
        <v>912</v>
      </c>
      <c r="D2346" s="12">
        <f>D1755+(((D365-D1755)/28)*13)</f>
        <v>24.96928571</v>
      </c>
    </row>
    <row r="2347" ht="25.5" customHeight="1">
      <c r="A2347" s="4" t="s">
        <v>3892</v>
      </c>
      <c r="B2347" s="8"/>
      <c r="C2347" s="6" t="s">
        <v>3893</v>
      </c>
      <c r="D2347" s="12">
        <f>D2359+(((D2340-D2359)/4)*1)</f>
        <v>12.5273487</v>
      </c>
    </row>
    <row r="2348" ht="25.5" customHeight="1">
      <c r="A2348" s="4" t="s">
        <v>3894</v>
      </c>
      <c r="B2348" s="8"/>
      <c r="C2348" s="6" t="s">
        <v>3149</v>
      </c>
      <c r="D2348" s="12">
        <f>AVERAGE(D2347,D2339,D2331,D2365,D1717)</f>
        <v>9.84501513</v>
      </c>
    </row>
    <row r="2349" ht="25.5" customHeight="1">
      <c r="A2349" s="4" t="s">
        <v>3895</v>
      </c>
      <c r="B2349" s="8"/>
      <c r="C2349" s="6" t="s">
        <v>925</v>
      </c>
      <c r="D2349" s="12">
        <f>AVERAGE(D2342,D2361)</f>
        <v>9.050689655</v>
      </c>
    </row>
    <row r="2350" ht="25.5" customHeight="1">
      <c r="A2350" s="4" t="s">
        <v>3896</v>
      </c>
      <c r="B2350" s="8"/>
      <c r="C2350" s="6" t="s">
        <v>149</v>
      </c>
      <c r="D2350" s="12">
        <f>D2359+(((D2340-D2359)/4)*2)</f>
        <v>12.19299437</v>
      </c>
    </row>
    <row r="2351" ht="25.5" customHeight="1">
      <c r="A2351" s="4" t="s">
        <v>3897</v>
      </c>
      <c r="B2351" s="8"/>
      <c r="C2351" s="6" t="s">
        <v>3898</v>
      </c>
      <c r="D2351" s="12">
        <f>D1717+(((D2357-D1717)/7)*5)</f>
        <v>14.33661154</v>
      </c>
    </row>
    <row r="2352" ht="25.5" customHeight="1">
      <c r="A2352" s="4" t="s">
        <v>3899</v>
      </c>
      <c r="B2352" s="8"/>
      <c r="C2352" s="6" t="s">
        <v>161</v>
      </c>
      <c r="D2352" s="12">
        <f>D2340</f>
        <v>11.52428571</v>
      </c>
    </row>
    <row r="2353" ht="25.5" customHeight="1">
      <c r="A2353" s="4" t="s">
        <v>3900</v>
      </c>
      <c r="B2353" s="8"/>
      <c r="C2353" s="6" t="s">
        <v>3901</v>
      </c>
      <c r="D2353" s="12">
        <f>AVERAGE(D2335,D2336,D1740)</f>
        <v>9.715022871</v>
      </c>
    </row>
    <row r="2354" ht="25.5" customHeight="1">
      <c r="A2354" s="4" t="s">
        <v>3902</v>
      </c>
      <c r="B2354" s="8"/>
      <c r="C2354" s="6" t="s">
        <v>3903</v>
      </c>
      <c r="D2354" s="12">
        <f>AVERAGE(D2320,D2342,D2338,D480,D442)</f>
        <v>11.4255007</v>
      </c>
    </row>
    <row r="2355" ht="25.5" customHeight="1">
      <c r="A2355" s="4" t="s">
        <v>3904</v>
      </c>
      <c r="B2355" s="8"/>
      <c r="C2355" s="6" t="s">
        <v>3905</v>
      </c>
      <c r="D2355" s="12">
        <f>AVERAGE(D2349,D2351)</f>
        <v>11.6936506</v>
      </c>
    </row>
    <row r="2356" ht="25.5" customHeight="1">
      <c r="A2356" s="4" t="s">
        <v>3906</v>
      </c>
      <c r="B2356" s="8"/>
      <c r="C2356" s="6" t="s">
        <v>955</v>
      </c>
      <c r="D2356" s="12">
        <f>D2903+(((D434-D2903)/29)*22)</f>
        <v>10.21103448</v>
      </c>
    </row>
    <row r="2357" ht="25.5" customHeight="1">
      <c r="A2357" s="4" t="s">
        <v>3907</v>
      </c>
      <c r="B2357" s="8"/>
      <c r="C2357" s="6" t="s">
        <v>3908</v>
      </c>
      <c r="D2357" s="12">
        <f>D1755+(((D365-D1755)/28)*9)</f>
        <v>17.28642857</v>
      </c>
    </row>
    <row r="2358" ht="25.5" customHeight="1">
      <c r="A2358" s="4" t="s">
        <v>3909</v>
      </c>
      <c r="B2358" s="8"/>
      <c r="C2358" s="6" t="s">
        <v>175</v>
      </c>
      <c r="D2358" s="12">
        <f>AVERAGE(D2342,D2323,D2356)</f>
        <v>9.746896552</v>
      </c>
    </row>
    <row r="2359" ht="25.5" customHeight="1">
      <c r="A2359" s="4" t="s">
        <v>3910</v>
      </c>
      <c r="B2359" s="8"/>
      <c r="C2359" s="6" t="s">
        <v>1407</v>
      </c>
      <c r="D2359" s="12">
        <f>D1717+(((D2357-D1717)/7)*4)</f>
        <v>12.86170303</v>
      </c>
    </row>
    <row r="2360" ht="25.5" customHeight="1">
      <c r="A2360" s="4" t="s">
        <v>3911</v>
      </c>
      <c r="B2360" s="8"/>
      <c r="C2360" s="6" t="s">
        <v>3912</v>
      </c>
      <c r="D2360" s="12">
        <f>AVERAGE(D2321,D2351,D2355)</f>
        <v>13.42906057</v>
      </c>
    </row>
    <row r="2361" ht="25.5" customHeight="1">
      <c r="A2361" s="4" t="s">
        <v>3913</v>
      </c>
      <c r="B2361" s="8"/>
      <c r="C2361" s="6" t="s">
        <v>3914</v>
      </c>
      <c r="D2361" s="12">
        <f>D2903+(((D434-D2903)/29)*19)</f>
        <v>8.81862069</v>
      </c>
    </row>
    <row r="2362" ht="25.5" customHeight="1">
      <c r="A2362" s="4" t="s">
        <v>3915</v>
      </c>
      <c r="B2362" s="8"/>
      <c r="C2362" s="6" t="s">
        <v>187</v>
      </c>
      <c r="D2362" s="12">
        <f>D1755+(((D365-D1755)/28)*7)</f>
        <v>13.445</v>
      </c>
    </row>
    <row r="2363" ht="25.5" customHeight="1">
      <c r="A2363" s="4" t="s">
        <v>3916</v>
      </c>
      <c r="B2363" s="8"/>
      <c r="C2363" s="6" t="s">
        <v>326</v>
      </c>
      <c r="D2363" s="12">
        <f>AVERAGE(D2355,D2349,D2361,D2330,D2331,D2339)</f>
        <v>9.869354035</v>
      </c>
    </row>
    <row r="2364" ht="25.5" customHeight="1">
      <c r="A2364" s="4" t="s">
        <v>3917</v>
      </c>
      <c r="B2364" s="8"/>
      <c r="C2364" s="6" t="s">
        <v>3918</v>
      </c>
      <c r="D2364" s="12">
        <f>D2333</f>
        <v>15.36571429</v>
      </c>
    </row>
    <row r="2365" ht="25.5" customHeight="1">
      <c r="A2365" s="4" t="s">
        <v>3919</v>
      </c>
      <c r="B2365" s="11"/>
      <c r="C2365" s="6" t="s">
        <v>2145</v>
      </c>
      <c r="D2365" s="12">
        <f>D1717+(((D2357-D1717)/7)*1)</f>
        <v>8.436977481</v>
      </c>
    </row>
    <row r="2366" ht="25.5" customHeight="1">
      <c r="A2366" s="4" t="s">
        <v>3920</v>
      </c>
      <c r="B2366" s="5" t="s">
        <v>3921</v>
      </c>
      <c r="C2366" s="6" t="s">
        <v>3922</v>
      </c>
      <c r="D2366" s="7">
        <f>D681+(((D1341-D681)/37)*27)</f>
        <v>8.973621622</v>
      </c>
    </row>
    <row r="2367" ht="25.5" customHeight="1">
      <c r="A2367" s="4" t="s">
        <v>3923</v>
      </c>
      <c r="B2367" s="8"/>
      <c r="C2367" s="6" t="s">
        <v>3924</v>
      </c>
      <c r="D2367" s="12">
        <f>AVERAGE(D2401,D2421,D2403,D2377)</f>
        <v>11.58894845</v>
      </c>
    </row>
    <row r="2368" ht="25.5" customHeight="1">
      <c r="A2368" s="4" t="s">
        <v>3925</v>
      </c>
      <c r="B2368" s="8"/>
      <c r="C2368" s="6" t="s">
        <v>3926</v>
      </c>
      <c r="D2368" s="12">
        <f>D2400</f>
        <v>7.92227027</v>
      </c>
    </row>
    <row r="2369" ht="25.5" customHeight="1">
      <c r="A2369" s="4" t="s">
        <v>3927</v>
      </c>
      <c r="B2369" s="8"/>
      <c r="C2369" s="6" t="s">
        <v>3928</v>
      </c>
      <c r="D2369" s="12">
        <f>AVERAGE(D2430,D2398,D2376)</f>
        <v>5.322225225</v>
      </c>
    </row>
    <row r="2370" ht="25.5" customHeight="1">
      <c r="A2370" s="4" t="s">
        <v>3929</v>
      </c>
      <c r="B2370" s="8"/>
      <c r="C2370" s="6" t="s">
        <v>3930</v>
      </c>
      <c r="D2370" s="12">
        <f>D1766+(((D2414-D1766)/9)*7)</f>
        <v>12.21888916</v>
      </c>
    </row>
    <row r="2371" ht="25.5" customHeight="1">
      <c r="A2371" s="4" t="s">
        <v>3931</v>
      </c>
      <c r="B2371" s="8"/>
      <c r="C2371" s="6" t="s">
        <v>1297</v>
      </c>
      <c r="D2371" s="12">
        <f>AVERAGE(D2383,D2408)</f>
        <v>17.15520059</v>
      </c>
    </row>
    <row r="2372" ht="25.5" customHeight="1">
      <c r="A2372" s="4" t="s">
        <v>3932</v>
      </c>
      <c r="B2372" s="8"/>
      <c r="C2372" s="6" t="s">
        <v>3933</v>
      </c>
      <c r="D2372" s="7">
        <f>D681+(((D1341-D681)/37)*26)</f>
        <v>8.710783784</v>
      </c>
    </row>
    <row r="2373" ht="25.5" customHeight="1">
      <c r="A2373" s="4" t="s">
        <v>3934</v>
      </c>
      <c r="B2373" s="8"/>
      <c r="C2373" s="6" t="s">
        <v>3083</v>
      </c>
      <c r="D2373" s="12">
        <f>AVERAGE(D2407,D2372)</f>
        <v>8.579364865</v>
      </c>
    </row>
    <row r="2374" ht="25.5" customHeight="1">
      <c r="A2374" s="4" t="s">
        <v>3935</v>
      </c>
      <c r="B2374" s="8"/>
      <c r="C2374" s="6" t="s">
        <v>376</v>
      </c>
      <c r="D2374" s="12">
        <f>AVERAGE(D3128,D2405,D2411)</f>
        <v>7.133756757</v>
      </c>
    </row>
    <row r="2375" ht="25.5" customHeight="1">
      <c r="A2375" s="4" t="s">
        <v>3936</v>
      </c>
      <c r="B2375" s="8"/>
      <c r="C2375" s="6" t="s">
        <v>1785</v>
      </c>
      <c r="D2375" s="12">
        <f>D1772</f>
        <v>16.07336486</v>
      </c>
    </row>
    <row r="2376" ht="25.5" customHeight="1">
      <c r="A2376" s="4" t="s">
        <v>3937</v>
      </c>
      <c r="B2376" s="8"/>
      <c r="C2376" s="6" t="s">
        <v>3938</v>
      </c>
      <c r="D2376" s="12">
        <f>AVERAGE(D2366,D2372)</f>
        <v>8.842202703</v>
      </c>
    </row>
    <row r="2377" ht="25.5" customHeight="1">
      <c r="A2377" s="4" t="s">
        <v>3939</v>
      </c>
      <c r="B2377" s="8"/>
      <c r="C2377" s="6" t="s">
        <v>222</v>
      </c>
      <c r="D2377" s="12">
        <f>AVERAGE(D2393,D2379)</f>
        <v>14.9612844</v>
      </c>
    </row>
    <row r="2378" ht="25.5" customHeight="1">
      <c r="A2378" s="4" t="s">
        <v>3940</v>
      </c>
      <c r="B2378" s="8"/>
      <c r="C2378" s="6" t="s">
        <v>94</v>
      </c>
      <c r="D2378" s="12">
        <f>AVERAGE(D2428,D2406,D2430)</f>
        <v>6.858538338</v>
      </c>
    </row>
    <row r="2379" ht="25.5" customHeight="1">
      <c r="A2379" s="4" t="s">
        <v>3941</v>
      </c>
      <c r="B2379" s="8"/>
      <c r="C2379" s="6" t="s">
        <v>3942</v>
      </c>
      <c r="D2379" s="12">
        <f>D1766+(((D2414-D1766)/9)*4)</f>
        <v>15.50976345</v>
      </c>
    </row>
    <row r="2380" ht="25.5" customHeight="1">
      <c r="A2380" s="4" t="s">
        <v>3943</v>
      </c>
      <c r="B2380" s="8"/>
      <c r="C2380" s="6" t="s">
        <v>3944</v>
      </c>
      <c r="D2380" s="12">
        <f>AVERAGE(D1800,D2418,D2431)</f>
        <v>9.970165438</v>
      </c>
    </row>
    <row r="2381" ht="25.5" customHeight="1">
      <c r="A2381" s="4" t="s">
        <v>3945</v>
      </c>
      <c r="B2381" s="8"/>
      <c r="C2381" s="6" t="s">
        <v>527</v>
      </c>
      <c r="D2381" s="12">
        <f>D2417</f>
        <v>7.659432432</v>
      </c>
    </row>
    <row r="2382" ht="25.5" customHeight="1">
      <c r="A2382" s="4" t="s">
        <v>3946</v>
      </c>
      <c r="B2382" s="8"/>
      <c r="C2382" s="6" t="s">
        <v>3947</v>
      </c>
      <c r="D2382" s="7">
        <f>D681+(((D1341-D681)/37)*28)</f>
        <v>9.236459459</v>
      </c>
    </row>
    <row r="2383" ht="25.5" customHeight="1">
      <c r="A2383" s="4" t="s">
        <v>3948</v>
      </c>
      <c r="B2383" s="8"/>
      <c r="C2383" s="6" t="s">
        <v>3949</v>
      </c>
      <c r="D2383" s="12">
        <f>AVERAGE(D2379,D2390,D2420)</f>
        <v>16.60672154</v>
      </c>
    </row>
    <row r="2384" ht="25.5" customHeight="1">
      <c r="A2384" s="4" t="s">
        <v>3950</v>
      </c>
      <c r="B2384" s="8"/>
      <c r="C2384" s="6" t="s">
        <v>3104</v>
      </c>
      <c r="D2384" s="12">
        <f>D1766+(((D2414-D1766)/9)*6)</f>
        <v>13.31584726</v>
      </c>
    </row>
    <row r="2385" ht="25.5" customHeight="1">
      <c r="A2385" s="4" t="s">
        <v>3951</v>
      </c>
      <c r="B2385" s="8"/>
      <c r="C2385" s="6" t="s">
        <v>3598</v>
      </c>
      <c r="D2385" s="12">
        <f>AVERAGE(D2431,D2423)</f>
        <v>7.856560811</v>
      </c>
    </row>
    <row r="2386" ht="25.5" customHeight="1">
      <c r="A2386" s="4" t="s">
        <v>3952</v>
      </c>
      <c r="B2386" s="8"/>
      <c r="C2386" s="6" t="s">
        <v>535</v>
      </c>
      <c r="D2386" s="12">
        <f>AVERAGE(D2382,D2366)</f>
        <v>9.105040541</v>
      </c>
    </row>
    <row r="2387" ht="25.5" customHeight="1">
      <c r="A2387" s="4" t="s">
        <v>3953</v>
      </c>
      <c r="B2387" s="8"/>
      <c r="C2387" s="6" t="s">
        <v>3954</v>
      </c>
      <c r="D2387" s="12">
        <f>AVERAGE(D2419,D2389,D2371)</f>
        <v>11.35036416</v>
      </c>
    </row>
    <row r="2388" ht="25.5" customHeight="1">
      <c r="A2388" s="4" t="s">
        <v>3955</v>
      </c>
      <c r="B2388" s="8"/>
      <c r="C2388" s="6" t="s">
        <v>3956</v>
      </c>
      <c r="D2388" s="12">
        <f>AVERAGE(D2416,D2381,D3136)</f>
        <v>8.215472222</v>
      </c>
    </row>
    <row r="2389" ht="25.5" customHeight="1">
      <c r="A2389" s="4" t="s">
        <v>3957</v>
      </c>
      <c r="B2389" s="8"/>
      <c r="C2389" s="6" t="s">
        <v>3958</v>
      </c>
      <c r="D2389" s="12">
        <f>D2399</f>
        <v>8.447945946</v>
      </c>
    </row>
    <row r="2390" ht="25.5" customHeight="1">
      <c r="A2390" s="4" t="s">
        <v>3959</v>
      </c>
      <c r="B2390" s="8"/>
      <c r="C2390" s="6" t="s">
        <v>252</v>
      </c>
      <c r="D2390" s="12">
        <f>D1766+(((D2414-D1766)/9)*3)</f>
        <v>16.60672154</v>
      </c>
    </row>
    <row r="2391" ht="25.5" customHeight="1">
      <c r="A2391" s="4" t="s">
        <v>3960</v>
      </c>
      <c r="B2391" s="8"/>
      <c r="C2391" s="6" t="s">
        <v>3961</v>
      </c>
      <c r="D2391" s="12">
        <f>D2407</f>
        <v>8.447945946</v>
      </c>
    </row>
    <row r="2392" ht="25.5" customHeight="1">
      <c r="A2392" s="4" t="s">
        <v>3962</v>
      </c>
      <c r="B2392" s="8"/>
      <c r="C2392" s="6" t="s">
        <v>3963</v>
      </c>
      <c r="D2392" s="12">
        <f>AVERAGE(D2417,D2400,D2402)</f>
        <v>7.92227027</v>
      </c>
    </row>
    <row r="2393" ht="25.5" customHeight="1">
      <c r="A2393" s="4" t="s">
        <v>3964</v>
      </c>
      <c r="B2393" s="8"/>
      <c r="C2393" s="6" t="s">
        <v>3965</v>
      </c>
      <c r="D2393" s="12">
        <f>D1766+(((D2414-D1766)/9)*5)</f>
        <v>14.41280535</v>
      </c>
    </row>
    <row r="2394" ht="25.5" customHeight="1">
      <c r="A2394" s="4" t="s">
        <v>3966</v>
      </c>
      <c r="B2394" s="8"/>
      <c r="C2394" s="6" t="s">
        <v>3967</v>
      </c>
      <c r="D2394" s="12">
        <f>AVERAGE(D2399,D2373,D2401)</f>
        <v>8.623171171</v>
      </c>
    </row>
    <row r="2395" ht="25.5" customHeight="1">
      <c r="A2395" s="4" t="s">
        <v>3968</v>
      </c>
      <c r="B2395" s="8"/>
      <c r="C2395" s="6" t="s">
        <v>3969</v>
      </c>
      <c r="D2395" s="7">
        <f>D681+(((D1341-D681)/37)*29)</f>
        <v>9.499297297</v>
      </c>
    </row>
    <row r="2396" ht="25.5" customHeight="1">
      <c r="A2396" s="4" t="s">
        <v>3970</v>
      </c>
      <c r="B2396" s="8"/>
      <c r="C2396" s="6" t="s">
        <v>3279</v>
      </c>
      <c r="D2396" s="12">
        <f>AVERAGE(D2418,D2374,D1607,D1614)</f>
        <v>8.128820178</v>
      </c>
    </row>
    <row r="2397" ht="25.5" customHeight="1">
      <c r="A2397" s="4" t="s">
        <v>3971</v>
      </c>
      <c r="B2397" s="8"/>
      <c r="C2397" s="6" t="s">
        <v>3612</v>
      </c>
      <c r="D2397" s="12">
        <f>D2407</f>
        <v>8.447945946</v>
      </c>
    </row>
    <row r="2398" ht="25.5" customHeight="1">
      <c r="A2398" s="4" t="s">
        <v>3972</v>
      </c>
      <c r="B2398" s="8"/>
      <c r="C2398" s="6" t="s">
        <v>3973</v>
      </c>
      <c r="D2398" s="12">
        <f>AVERAGE(D2430,D2409,D2395,D2382)</f>
        <v>7.124472973</v>
      </c>
    </row>
    <row r="2399" ht="25.5" customHeight="1">
      <c r="A2399" s="4" t="s">
        <v>3974</v>
      </c>
      <c r="B2399" s="8"/>
      <c r="C2399" s="6" t="s">
        <v>2897</v>
      </c>
      <c r="D2399" s="12">
        <f>D2407</f>
        <v>8.447945946</v>
      </c>
    </row>
    <row r="2400" ht="25.5" customHeight="1">
      <c r="A2400" s="4" t="s">
        <v>3975</v>
      </c>
      <c r="B2400" s="8"/>
      <c r="C2400" s="6" t="s">
        <v>138</v>
      </c>
      <c r="D2400" s="7">
        <f>D681+(((D1341-D681)/37)*23)</f>
        <v>7.92227027</v>
      </c>
    </row>
    <row r="2401" ht="25.5" customHeight="1">
      <c r="A2401" s="4" t="s">
        <v>3976</v>
      </c>
      <c r="B2401" s="8"/>
      <c r="C2401" s="6" t="s">
        <v>3977</v>
      </c>
      <c r="D2401" s="12">
        <f>AVERAGE(D2372,D2366)</f>
        <v>8.842202703</v>
      </c>
    </row>
    <row r="2402" ht="25.5" customHeight="1">
      <c r="A2402" s="4" t="s">
        <v>3978</v>
      </c>
      <c r="B2402" s="8"/>
      <c r="C2402" s="6" t="s">
        <v>920</v>
      </c>
      <c r="D2402" s="7">
        <f>D681+(((D1341-D681)/37)*24)</f>
        <v>8.185108108</v>
      </c>
    </row>
    <row r="2403" ht="25.5" customHeight="1">
      <c r="A2403" s="4" t="s">
        <v>3979</v>
      </c>
      <c r="B2403" s="8"/>
      <c r="C2403" s="6" t="s">
        <v>3980</v>
      </c>
      <c r="D2403" s="12">
        <f>AVERAGE(D2370,D2393)</f>
        <v>13.31584726</v>
      </c>
    </row>
    <row r="2404" ht="25.5" customHeight="1">
      <c r="A2404" s="4" t="s">
        <v>3981</v>
      </c>
      <c r="B2404" s="8"/>
      <c r="C2404" s="6" t="s">
        <v>402</v>
      </c>
      <c r="D2404" s="12">
        <f>AVERAGE(D2409,D2414,D2415,D2370)</f>
        <v>10.78198208</v>
      </c>
    </row>
    <row r="2405" ht="25.5" customHeight="1">
      <c r="A2405" s="4" t="s">
        <v>3982</v>
      </c>
      <c r="B2405" s="8"/>
      <c r="C2405" s="6" t="s">
        <v>147</v>
      </c>
      <c r="D2405" s="7">
        <f>D681+(((D1341-D681)/37)*20)</f>
        <v>7.133756757</v>
      </c>
    </row>
    <row r="2406" ht="25.5" customHeight="1">
      <c r="A2406" s="4" t="s">
        <v>3983</v>
      </c>
      <c r="B2406" s="8"/>
      <c r="C2406" s="6" t="s">
        <v>273</v>
      </c>
      <c r="D2406" s="12">
        <f>D2414+(((D632-D2414)/6)*1)</f>
        <v>10.200196</v>
      </c>
    </row>
    <row r="2407" ht="25.5" customHeight="1">
      <c r="A2407" s="4" t="s">
        <v>3984</v>
      </c>
      <c r="B2407" s="8"/>
      <c r="C2407" s="6" t="s">
        <v>3985</v>
      </c>
      <c r="D2407" s="7">
        <f>D681+(((D1341-D681)/37)*25)</f>
        <v>8.447945946</v>
      </c>
    </row>
    <row r="2408" ht="25.5" customHeight="1">
      <c r="A2408" s="4" t="s">
        <v>3986</v>
      </c>
      <c r="B2408" s="8"/>
      <c r="C2408" s="6" t="s">
        <v>163</v>
      </c>
      <c r="D2408" s="12">
        <f>D2420</f>
        <v>17.70367963</v>
      </c>
    </row>
    <row r="2409" ht="25.5" customHeight="1">
      <c r="A2409" s="4" t="s">
        <v>3987</v>
      </c>
      <c r="B2409" s="8"/>
      <c r="C2409" s="6" t="s">
        <v>3988</v>
      </c>
      <c r="D2409" s="7">
        <f>D681+(((D1341-D681)/37)*30)</f>
        <v>9.762135135</v>
      </c>
    </row>
    <row r="2410" ht="25.5" customHeight="1">
      <c r="A2410" s="4" t="s">
        <v>3989</v>
      </c>
      <c r="B2410" s="8"/>
      <c r="C2410" s="6" t="s">
        <v>1669</v>
      </c>
      <c r="D2410" s="12">
        <f>AVERAGE(D2371,D2375,D1783,D1768)</f>
        <v>17.16276177</v>
      </c>
    </row>
    <row r="2411" ht="25.5" customHeight="1">
      <c r="A2411" s="4" t="s">
        <v>3990</v>
      </c>
      <c r="B2411" s="8"/>
      <c r="C2411" s="6" t="s">
        <v>1671</v>
      </c>
      <c r="D2411" s="7">
        <f>D681+(((D1341-D681)/37)*21)</f>
        <v>7.396594595</v>
      </c>
    </row>
    <row r="2412" ht="25.5" customHeight="1">
      <c r="A2412" s="4" t="s">
        <v>3991</v>
      </c>
      <c r="B2412" s="8"/>
      <c r="C2412" s="6" t="s">
        <v>3992</v>
      </c>
      <c r="D2412" s="12">
        <f>AVERAGE(D2407,D2402,D2400)</f>
        <v>8.185108108</v>
      </c>
    </row>
    <row r="2413" ht="25.5" customHeight="1">
      <c r="A2413" s="4" t="s">
        <v>3993</v>
      </c>
      <c r="B2413" s="8"/>
      <c r="C2413" s="6" t="s">
        <v>3994</v>
      </c>
      <c r="D2413" s="12">
        <f>AVERAGE(D2395,D2409)</f>
        <v>9.630716216</v>
      </c>
    </row>
    <row r="2414" ht="25.5" customHeight="1">
      <c r="A2414" s="4" t="s">
        <v>3995</v>
      </c>
      <c r="B2414" s="8"/>
      <c r="C2414" s="6" t="s">
        <v>3996</v>
      </c>
      <c r="D2414" s="7">
        <f>D681+(((D1341-D681)/37)*31)</f>
        <v>10.02497297</v>
      </c>
    </row>
    <row r="2415" ht="25.5" customHeight="1">
      <c r="A2415" s="4" t="s">
        <v>3997</v>
      </c>
      <c r="B2415" s="8"/>
      <c r="C2415" s="6" t="s">
        <v>3998</v>
      </c>
      <c r="D2415" s="12">
        <f>D1766+(((D2414-D1766)/9)*8)</f>
        <v>11.12193107</v>
      </c>
    </row>
    <row r="2416" ht="25.5" customHeight="1">
      <c r="A2416" s="4" t="s">
        <v>3999</v>
      </c>
      <c r="B2416" s="8"/>
      <c r="C2416" s="6" t="s">
        <v>4000</v>
      </c>
      <c r="D2416" s="12">
        <f>AVERAGE(D2400,D2417)</f>
        <v>7.790851351</v>
      </c>
    </row>
    <row r="2417" ht="25.5" customHeight="1">
      <c r="A2417" s="4" t="s">
        <v>4001</v>
      </c>
      <c r="B2417" s="8"/>
      <c r="C2417" s="6" t="s">
        <v>2396</v>
      </c>
      <c r="D2417" s="7">
        <f>D681+(((D1341-D681)/37)*22)</f>
        <v>7.659432432</v>
      </c>
    </row>
    <row r="2418" ht="25.5" customHeight="1">
      <c r="A2418" s="4" t="s">
        <v>4002</v>
      </c>
      <c r="B2418" s="8"/>
      <c r="C2418" s="6" t="s">
        <v>3170</v>
      </c>
      <c r="D2418" s="12">
        <f>D2411</f>
        <v>7.396594595</v>
      </c>
    </row>
    <row r="2419" ht="25.5" customHeight="1">
      <c r="A2419" s="4" t="s">
        <v>4003</v>
      </c>
      <c r="B2419" s="8"/>
      <c r="C2419" s="6" t="s">
        <v>3818</v>
      </c>
      <c r="D2419" s="12">
        <f>D2399</f>
        <v>8.447945946</v>
      </c>
    </row>
    <row r="2420" ht="25.5" customHeight="1">
      <c r="A2420" s="4" t="s">
        <v>4004</v>
      </c>
      <c r="B2420" s="8"/>
      <c r="C2420" s="6" t="s">
        <v>4005</v>
      </c>
      <c r="D2420" s="12">
        <f>D1766+(((D2414-D1766)/9)*2)</f>
        <v>17.70367963</v>
      </c>
    </row>
    <row r="2421" ht="25.5" customHeight="1">
      <c r="A2421" s="4" t="s">
        <v>4006</v>
      </c>
      <c r="B2421" s="8"/>
      <c r="C2421" s="6" t="s">
        <v>4007</v>
      </c>
      <c r="D2421" s="12">
        <f>AVERAGE(D2366,D2382,D2395)</f>
        <v>9.236459459</v>
      </c>
    </row>
    <row r="2422" ht="25.5" customHeight="1">
      <c r="A2422" s="4" t="s">
        <v>4008</v>
      </c>
      <c r="B2422" s="8"/>
      <c r="C2422" s="6" t="s">
        <v>4009</v>
      </c>
      <c r="D2422" s="12">
        <f>AVERAGE(D2377,D2383)</f>
        <v>15.78400297</v>
      </c>
    </row>
    <row r="2423" ht="25.5" customHeight="1">
      <c r="A2423" s="4" t="s">
        <v>4010</v>
      </c>
      <c r="B2423" s="8"/>
      <c r="C2423" s="6" t="s">
        <v>4011</v>
      </c>
      <c r="D2423" s="12">
        <f>AVERAGE(D2402,D2407)</f>
        <v>8.316527027</v>
      </c>
    </row>
    <row r="2424" ht="25.5" customHeight="1">
      <c r="A2424" s="4" t="s">
        <v>4012</v>
      </c>
      <c r="B2424" s="8"/>
      <c r="C2424" s="6" t="s">
        <v>4013</v>
      </c>
      <c r="D2424" s="12">
        <f>AVERAGE(D2423,D2397,D2399)</f>
        <v>8.40413964</v>
      </c>
    </row>
    <row r="2425" ht="25.5" customHeight="1">
      <c r="A2425" s="4" t="s">
        <v>4014</v>
      </c>
      <c r="B2425" s="8"/>
      <c r="C2425" s="6" t="s">
        <v>1916</v>
      </c>
      <c r="D2425" s="12">
        <f>AVERAGE(D2426,D2412,D2368)</f>
        <v>8.185108108</v>
      </c>
    </row>
    <row r="2426" ht="25.5" customHeight="1">
      <c r="A2426" s="4" t="s">
        <v>4015</v>
      </c>
      <c r="B2426" s="8"/>
      <c r="C2426" s="6" t="s">
        <v>4016</v>
      </c>
      <c r="D2426" s="12">
        <f>D2407</f>
        <v>8.447945946</v>
      </c>
    </row>
    <row r="2427" ht="25.5" customHeight="1">
      <c r="A2427" s="4" t="s">
        <v>4017</v>
      </c>
      <c r="B2427" s="8"/>
      <c r="C2427" s="6" t="s">
        <v>1014</v>
      </c>
      <c r="D2427" s="12">
        <f>AVERAGE(D2406,D2414,D2409,D2430)</f>
        <v>7.496826026</v>
      </c>
    </row>
    <row r="2428" ht="25.5" customHeight="1">
      <c r="A2428" s="4" t="s">
        <v>4018</v>
      </c>
      <c r="B2428" s="8"/>
      <c r="C2428" s="6" t="s">
        <v>326</v>
      </c>
      <c r="D2428" s="12">
        <f>D2414+(((D632-D2414)/6)*2)</f>
        <v>10.37541902</v>
      </c>
    </row>
    <row r="2429" ht="25.5" customHeight="1">
      <c r="A2429" s="4" t="s">
        <v>4019</v>
      </c>
      <c r="B2429" s="8"/>
      <c r="C2429" s="6" t="s">
        <v>4020</v>
      </c>
      <c r="D2429" s="12">
        <f>AVERAGE(D2375,D2380,D2385,D2419)</f>
        <v>10.58700926</v>
      </c>
    </row>
    <row r="2430" ht="25.5" customHeight="1">
      <c r="A2430" s="4" t="s">
        <v>4021</v>
      </c>
      <c r="B2430" s="8"/>
      <c r="C2430" s="9" t="s">
        <v>4022</v>
      </c>
      <c r="D2430" s="12">
        <v>0.0</v>
      </c>
      <c r="E2430" s="10" t="s">
        <v>4022</v>
      </c>
    </row>
    <row r="2431" ht="25.5" customHeight="1">
      <c r="A2431" s="4" t="s">
        <v>4023</v>
      </c>
      <c r="B2431" s="11"/>
      <c r="C2431" s="6" t="s">
        <v>4024</v>
      </c>
      <c r="D2431" s="12">
        <f>D2411</f>
        <v>7.396594595</v>
      </c>
    </row>
    <row r="2432" ht="25.5" customHeight="1">
      <c r="A2432" s="4" t="s">
        <v>4025</v>
      </c>
      <c r="B2432" s="5" t="s">
        <v>4026</v>
      </c>
      <c r="C2432" s="6" t="s">
        <v>1581</v>
      </c>
      <c r="D2432" s="12">
        <f>D1316+(((D2464-D1316)/29)*23)</f>
        <v>6.297551724</v>
      </c>
    </row>
    <row r="2433" ht="25.5" customHeight="1">
      <c r="A2433" s="4" t="s">
        <v>4027</v>
      </c>
      <c r="B2433" s="8"/>
      <c r="C2433" s="6" t="s">
        <v>3745</v>
      </c>
      <c r="D2433" s="12">
        <f>AVERAGE(D2447,D2506,D2488)</f>
        <v>29.34942</v>
      </c>
    </row>
    <row r="2434" ht="25.5" customHeight="1">
      <c r="A2434" s="4" t="s">
        <v>4028</v>
      </c>
      <c r="B2434" s="8"/>
      <c r="C2434" s="6" t="s">
        <v>210</v>
      </c>
      <c r="D2434" s="12">
        <f>D2450+(((D2510-D2450)/11)*5)</f>
        <v>16.56</v>
      </c>
    </row>
    <row r="2435" ht="25.5" customHeight="1">
      <c r="A2435" s="4" t="s">
        <v>4029</v>
      </c>
      <c r="B2435" s="8"/>
      <c r="C2435" s="6" t="s">
        <v>4030</v>
      </c>
      <c r="D2435" s="12">
        <f>AVERAGE(D2449,D2464)</f>
        <v>10.71217816</v>
      </c>
    </row>
    <row r="2436" ht="25.5" customHeight="1">
      <c r="A2436" s="4" t="s">
        <v>4031</v>
      </c>
      <c r="B2436" s="8"/>
      <c r="C2436" s="6" t="s">
        <v>76</v>
      </c>
      <c r="D2436" s="12">
        <f>AVERAGE(D2509,D2478,D2484,D2493)</f>
        <v>6.527194657</v>
      </c>
    </row>
    <row r="2437" ht="25.5" customHeight="1">
      <c r="A2437" s="4" t="s">
        <v>4032</v>
      </c>
      <c r="B2437" s="8"/>
      <c r="C2437" s="6" t="s">
        <v>215</v>
      </c>
      <c r="D2437" s="12">
        <f>D1316+(((D2464-D1316)/29)*28)</f>
        <v>6.848758621</v>
      </c>
    </row>
    <row r="2438" ht="25.5" customHeight="1">
      <c r="A2438" s="4" t="s">
        <v>4033</v>
      </c>
      <c r="B2438" s="8"/>
      <c r="C2438" s="6" t="s">
        <v>1785</v>
      </c>
      <c r="D2438" s="12">
        <f>D1316+(((D2464-D1316)/29)*22)</f>
        <v>6.187310345</v>
      </c>
    </row>
    <row r="2439" ht="25.5" customHeight="1">
      <c r="A2439" s="4" t="s">
        <v>4034</v>
      </c>
      <c r="B2439" s="8"/>
      <c r="C2439" s="6" t="s">
        <v>4035</v>
      </c>
      <c r="D2439" s="12">
        <f>AVERAGE(D2447,D2506,D2526)</f>
        <v>25.26486636</v>
      </c>
    </row>
    <row r="2440" ht="25.5" customHeight="1">
      <c r="A2440" s="4" t="s">
        <v>4036</v>
      </c>
      <c r="B2440" s="8"/>
      <c r="C2440" s="6" t="s">
        <v>218</v>
      </c>
      <c r="D2440" s="12">
        <f>AVERAGE(D2486,D2470,D2434)</f>
        <v>11.96</v>
      </c>
    </row>
    <row r="2441" ht="25.5" customHeight="1">
      <c r="A2441" s="4" t="s">
        <v>4037</v>
      </c>
      <c r="B2441" s="8"/>
      <c r="C2441" s="6" t="s">
        <v>1790</v>
      </c>
      <c r="D2441" s="12">
        <f>AVERAGE(D2513,D2521,D2517)</f>
        <v>8.507157615</v>
      </c>
    </row>
    <row r="2442" ht="25.5" customHeight="1">
      <c r="A2442" s="4" t="s">
        <v>4038</v>
      </c>
      <c r="B2442" s="8"/>
      <c r="C2442" s="6" t="s">
        <v>4039</v>
      </c>
      <c r="D2442" s="12">
        <f>D2450+(((D2510-D2450)/11)*1)</f>
        <v>27.6</v>
      </c>
    </row>
    <row r="2443" ht="25.5" customHeight="1">
      <c r="A2443" s="4" t="s">
        <v>4040</v>
      </c>
      <c r="B2443" s="8"/>
      <c r="C2443" s="6" t="s">
        <v>3761</v>
      </c>
      <c r="D2443" s="12">
        <f>AVERAGE(D2470,D2486)</f>
        <v>9.66</v>
      </c>
    </row>
    <row r="2444" ht="25.5" customHeight="1">
      <c r="A2444" s="4" t="s">
        <v>4041</v>
      </c>
      <c r="B2444" s="8"/>
      <c r="C2444" s="6" t="s">
        <v>1956</v>
      </c>
      <c r="D2444" s="12">
        <f>D2438</f>
        <v>6.187310345</v>
      </c>
    </row>
    <row r="2445" ht="25.5" customHeight="1">
      <c r="A2445" s="4" t="s">
        <v>4042</v>
      </c>
      <c r="B2445" s="8"/>
      <c r="C2445" s="6" t="s">
        <v>94</v>
      </c>
      <c r="D2445" s="12">
        <f>AVERAGE(D2498,D2475,D2485,D1082)</f>
        <v>19.41780101</v>
      </c>
    </row>
    <row r="2446" ht="25.5" customHeight="1">
      <c r="A2446" s="4" t="s">
        <v>4043</v>
      </c>
      <c r="B2446" s="8"/>
      <c r="C2446" s="6" t="s">
        <v>4044</v>
      </c>
      <c r="D2446" s="12">
        <f>D2478+(((D1706-D2478)/9)*3)</f>
        <v>6.848439336</v>
      </c>
    </row>
    <row r="2447" ht="25.5" customHeight="1">
      <c r="A2447" s="4" t="s">
        <v>4045</v>
      </c>
      <c r="B2447" s="8"/>
      <c r="C2447" s="6" t="s">
        <v>98</v>
      </c>
      <c r="D2447" s="12">
        <f>D2450+(((AVERAGE(D2464,D431)-D2450)/5)*2)</f>
        <v>22.81884</v>
      </c>
    </row>
    <row r="2448" ht="25.5" customHeight="1">
      <c r="A2448" s="4" t="s">
        <v>4046</v>
      </c>
      <c r="B2448" s="8"/>
      <c r="C2448" s="6" t="s">
        <v>4047</v>
      </c>
      <c r="D2448" s="12">
        <f>AVERAGE(D2454,D2469,D2486)</f>
        <v>4.7677</v>
      </c>
    </row>
    <row r="2449" ht="25.5" customHeight="1">
      <c r="A2449" s="4" t="s">
        <v>4048</v>
      </c>
      <c r="B2449" s="8"/>
      <c r="C2449" s="6" t="s">
        <v>1315</v>
      </c>
      <c r="D2449" s="12">
        <f>D2450+(((D2484-D2450)/6)*4)</f>
        <v>14.46535632</v>
      </c>
    </row>
    <row r="2450" ht="25.5" customHeight="1">
      <c r="A2450" s="4" t="s">
        <v>4049</v>
      </c>
      <c r="B2450" s="8"/>
      <c r="C2450" s="6" t="s">
        <v>2863</v>
      </c>
      <c r="D2450" s="12">
        <f>D1052+(((D68-D1052)/19)*11)</f>
        <v>30.36</v>
      </c>
    </row>
    <row r="2451" ht="25.5" customHeight="1">
      <c r="A2451" s="4" t="s">
        <v>4050</v>
      </c>
      <c r="B2451" s="8"/>
      <c r="C2451" s="6" t="s">
        <v>847</v>
      </c>
      <c r="D2451" s="12">
        <f>D2450+(((D2510-D2450)/11)*6)</f>
        <v>13.8</v>
      </c>
    </row>
    <row r="2452" ht="25.5" customHeight="1">
      <c r="A2452" s="4" t="s">
        <v>4051</v>
      </c>
      <c r="B2452" s="8"/>
      <c r="C2452" s="6" t="s">
        <v>116</v>
      </c>
      <c r="D2452" s="12">
        <f>AVERAGE(D2526,D2511,D2502)</f>
        <v>22.41267816</v>
      </c>
    </row>
    <row r="2453" ht="25.5" customHeight="1">
      <c r="A2453" s="4" t="s">
        <v>4052</v>
      </c>
      <c r="B2453" s="8"/>
      <c r="C2453" s="6" t="s">
        <v>4053</v>
      </c>
      <c r="D2453" s="12">
        <f>D2450+(((D2510-D2450)/11)*2)</f>
        <v>24.84</v>
      </c>
    </row>
    <row r="2454" ht="25.5" customHeight="1">
      <c r="A2454" s="4" t="s">
        <v>4054</v>
      </c>
      <c r="B2454" s="8"/>
      <c r="C2454" s="6" t="s">
        <v>4055</v>
      </c>
      <c r="D2454" s="7">
        <f>D720+(((D2510-D720)/20)*17)</f>
        <v>0.5031</v>
      </c>
    </row>
    <row r="2455" ht="25.5" customHeight="1">
      <c r="A2455" s="4" t="s">
        <v>4056</v>
      </c>
      <c r="B2455" s="8"/>
      <c r="C2455" s="6" t="s">
        <v>124</v>
      </c>
      <c r="D2455" s="12">
        <f>D2450+(((D2510-D2450)/11)*10)</f>
        <v>2.76</v>
      </c>
    </row>
    <row r="2456" ht="25.5" customHeight="1">
      <c r="A2456" s="4" t="s">
        <v>4057</v>
      </c>
      <c r="B2456" s="8"/>
      <c r="C2456" s="6" t="s">
        <v>4058</v>
      </c>
      <c r="D2456" s="12">
        <f>D2449</f>
        <v>14.46535632</v>
      </c>
    </row>
    <row r="2457" ht="25.5" customHeight="1">
      <c r="A2457" s="4" t="s">
        <v>4059</v>
      </c>
      <c r="B2457" s="8"/>
      <c r="C2457" s="6" t="s">
        <v>126</v>
      </c>
      <c r="D2457" s="12">
        <f>AVERAGE(D2447,D2462,D2487)</f>
        <v>19.04826</v>
      </c>
    </row>
    <row r="2458" ht="25.5" customHeight="1">
      <c r="A2458" s="4" t="s">
        <v>4060</v>
      </c>
      <c r="B2458" s="8"/>
      <c r="C2458" s="6" t="s">
        <v>1478</v>
      </c>
      <c r="D2458" s="12">
        <f>AVERAGE(D2454,D2486)</f>
        <v>4.39155</v>
      </c>
    </row>
    <row r="2459" ht="25.5" customHeight="1">
      <c r="A2459" s="4" t="s">
        <v>4061</v>
      </c>
      <c r="B2459" s="8"/>
      <c r="C2459" s="6" t="s">
        <v>4062</v>
      </c>
      <c r="D2459" s="12">
        <f>D1052+(((D68-D1052)/19)*15)</f>
        <v>41.4</v>
      </c>
    </row>
    <row r="2460" ht="25.5" customHeight="1">
      <c r="A2460" s="4" t="s">
        <v>4063</v>
      </c>
      <c r="B2460" s="8"/>
      <c r="C2460" s="6" t="s">
        <v>4064</v>
      </c>
      <c r="D2460" s="12">
        <f>AVERAGE(D2478,D2476,D2463)</f>
        <v>6.798818058</v>
      </c>
    </row>
    <row r="2461" ht="25.5" customHeight="1">
      <c r="A2461" s="4" t="s">
        <v>4065</v>
      </c>
      <c r="B2461" s="8"/>
      <c r="C2461" s="6" t="s">
        <v>130</v>
      </c>
      <c r="D2461" s="12">
        <f>D2476+(((D2941-D2476)/7)*2)</f>
        <v>7.872650368</v>
      </c>
    </row>
    <row r="2462" ht="25.5" customHeight="1">
      <c r="A2462" s="4" t="s">
        <v>4066</v>
      </c>
      <c r="B2462" s="8"/>
      <c r="C2462" s="6" t="s">
        <v>1113</v>
      </c>
      <c r="D2462" s="12">
        <f>D2450+(((AVERAGE(D2464,D431)-D2450)/5)*3)</f>
        <v>19.04826</v>
      </c>
    </row>
    <row r="2463" ht="25.5" customHeight="1">
      <c r="A2463" s="4" t="s">
        <v>4067</v>
      </c>
      <c r="B2463" s="8"/>
      <c r="C2463" s="6" t="s">
        <v>4068</v>
      </c>
      <c r="D2463" s="12">
        <f>D2476+(((D2941-D2476)/7)*1)</f>
        <v>7.287103813</v>
      </c>
    </row>
    <row r="2464" ht="25.5" customHeight="1">
      <c r="A2464" s="4" t="s">
        <v>4069</v>
      </c>
      <c r="B2464" s="8"/>
      <c r="C2464" s="9" t="s">
        <v>689</v>
      </c>
      <c r="D2464" s="12">
        <v>6.959</v>
      </c>
      <c r="E2464" s="10" t="s">
        <v>4070</v>
      </c>
    </row>
    <row r="2465" ht="25.5" customHeight="1">
      <c r="A2465" s="4" t="s">
        <v>4071</v>
      </c>
      <c r="B2465" s="8"/>
      <c r="C2465" s="6" t="s">
        <v>896</v>
      </c>
      <c r="D2465" s="12">
        <f>AVERAGE(D2468,D2460,D2444)</f>
        <v>7.017986985</v>
      </c>
    </row>
    <row r="2466" ht="25.5" customHeight="1">
      <c r="A2466" s="4" t="s">
        <v>4072</v>
      </c>
      <c r="B2466" s="8"/>
      <c r="C2466" s="6" t="s">
        <v>4073</v>
      </c>
      <c r="D2466" s="12">
        <f>AVERAGE(D2486,D2469,D2455)</f>
        <v>5.52</v>
      </c>
    </row>
    <row r="2467" ht="25.5" customHeight="1">
      <c r="A2467" s="4" t="s">
        <v>4074</v>
      </c>
      <c r="B2467" s="8"/>
      <c r="C2467" s="6" t="s">
        <v>1119</v>
      </c>
      <c r="D2467" s="12">
        <f>AVERAGE(D2451,D2470)</f>
        <v>12.42</v>
      </c>
    </row>
    <row r="2468" ht="25.5" customHeight="1">
      <c r="A2468" s="4" t="s">
        <v>4075</v>
      </c>
      <c r="B2468" s="8"/>
      <c r="C2468" s="6" t="s">
        <v>4076</v>
      </c>
      <c r="D2468" s="12">
        <f>AVERAGE(D2463,D2461,D2513)</f>
        <v>8.067832553</v>
      </c>
    </row>
    <row r="2469" ht="25.5" customHeight="1">
      <c r="A2469" s="4" t="s">
        <v>4077</v>
      </c>
      <c r="B2469" s="8"/>
      <c r="C2469" s="6" t="s">
        <v>2890</v>
      </c>
      <c r="D2469" s="12">
        <f>D2450+(((D2510-D2450)/11)*9)</f>
        <v>5.52</v>
      </c>
    </row>
    <row r="2470" ht="25.5" customHeight="1">
      <c r="A2470" s="4" t="s">
        <v>4078</v>
      </c>
      <c r="B2470" s="8"/>
      <c r="C2470" s="6" t="s">
        <v>1343</v>
      </c>
      <c r="D2470" s="12">
        <f>D2450+(((D2510-D2450)/11)*7)</f>
        <v>11.04</v>
      </c>
    </row>
    <row r="2471" ht="25.5" customHeight="1">
      <c r="A2471" s="4" t="s">
        <v>4079</v>
      </c>
      <c r="B2471" s="8"/>
      <c r="C2471" s="6" t="s">
        <v>134</v>
      </c>
      <c r="D2471" s="12">
        <f>D2434</f>
        <v>16.56</v>
      </c>
    </row>
    <row r="2472" ht="25.5" customHeight="1">
      <c r="A2472" s="4" t="s">
        <v>4080</v>
      </c>
      <c r="B2472" s="8"/>
      <c r="C2472" s="6" t="s">
        <v>1833</v>
      </c>
      <c r="D2472" s="12">
        <f>D2450+(((D2510-D2450)/11)*3)</f>
        <v>22.08</v>
      </c>
    </row>
    <row r="2473" ht="25.5" customHeight="1">
      <c r="A2473" s="4" t="s">
        <v>4081</v>
      </c>
      <c r="B2473" s="8"/>
      <c r="C2473" s="6" t="s">
        <v>136</v>
      </c>
      <c r="D2473" s="12">
        <f>AVERAGE(D2434,D2474,D2453,D2494)</f>
        <v>21.34912895</v>
      </c>
    </row>
    <row r="2474" ht="25.5" customHeight="1">
      <c r="A2474" s="4" t="s">
        <v>4082</v>
      </c>
      <c r="B2474" s="8"/>
      <c r="C2474" s="6" t="s">
        <v>2642</v>
      </c>
      <c r="D2474" s="12">
        <f>D2450+(((D2510-D2450)/11)*4)</f>
        <v>19.32</v>
      </c>
    </row>
    <row r="2475" ht="25.5" customHeight="1">
      <c r="A2475" s="4" t="s">
        <v>4083</v>
      </c>
      <c r="B2475" s="8"/>
      <c r="C2475" s="6" t="s">
        <v>138</v>
      </c>
      <c r="D2475" s="12">
        <f>AVERAGE(D2511,D2502)</f>
        <v>20.4258477</v>
      </c>
    </row>
    <row r="2476" ht="25.5" customHeight="1">
      <c r="A2476" s="4" t="s">
        <v>4084</v>
      </c>
      <c r="B2476" s="8"/>
      <c r="C2476" s="6" t="s">
        <v>140</v>
      </c>
      <c r="D2476" s="12">
        <f>D2478+(((D1706-D2478)/9)*2)</f>
        <v>6.701557258</v>
      </c>
    </row>
    <row r="2477" ht="25.5" customHeight="1">
      <c r="A2477" s="4" t="s">
        <v>4085</v>
      </c>
      <c r="B2477" s="8"/>
      <c r="C2477" s="6" t="s">
        <v>267</v>
      </c>
      <c r="D2477" s="12">
        <f>AVERAGE(D2513,D2935)</f>
        <v>9.336516755</v>
      </c>
    </row>
    <row r="2478" ht="25.5" customHeight="1">
      <c r="A2478" s="4" t="s">
        <v>4086</v>
      </c>
      <c r="B2478" s="8"/>
      <c r="C2478" s="6" t="s">
        <v>1362</v>
      </c>
      <c r="D2478" s="12">
        <f>D1316+(((D2464-D1316)/29)*24)</f>
        <v>6.407793103</v>
      </c>
    </row>
    <row r="2479" ht="25.5" customHeight="1">
      <c r="A2479" s="4" t="s">
        <v>4087</v>
      </c>
      <c r="B2479" s="8"/>
      <c r="C2479" s="6" t="s">
        <v>402</v>
      </c>
      <c r="D2479" s="12">
        <f>AVERAGE(D1034,D1476,D1482,D2454)</f>
        <v>0.58695</v>
      </c>
    </row>
    <row r="2480" ht="25.5" customHeight="1">
      <c r="A2480" s="4" t="s">
        <v>4088</v>
      </c>
      <c r="B2480" s="8"/>
      <c r="C2480" s="6" t="s">
        <v>145</v>
      </c>
      <c r="D2480" s="12">
        <f>AVERAGE(D2454,D2469,D145)</f>
        <v>2.1195</v>
      </c>
    </row>
    <row r="2481" ht="25.5" customHeight="1">
      <c r="A2481" s="4" t="s">
        <v>4089</v>
      </c>
      <c r="B2481" s="8"/>
      <c r="C2481" s="6" t="s">
        <v>147</v>
      </c>
      <c r="D2481" s="12">
        <f>AVERAGE(D2459,D2489)</f>
        <v>38.64</v>
      </c>
    </row>
    <row r="2482" ht="25.5" customHeight="1">
      <c r="A2482" s="4" t="s">
        <v>4090</v>
      </c>
      <c r="B2482" s="8"/>
      <c r="C2482" s="6" t="s">
        <v>1265</v>
      </c>
      <c r="D2482" s="12">
        <f>AVERAGE(D2489,D2472)</f>
        <v>28.98</v>
      </c>
    </row>
    <row r="2483" ht="25.5" customHeight="1">
      <c r="A2483" s="4" t="s">
        <v>4091</v>
      </c>
      <c r="B2483" s="8"/>
      <c r="C2483" s="6" t="s">
        <v>273</v>
      </c>
      <c r="D2483" s="12">
        <f>AVERAGE(D2488,D2459,D76)</f>
        <v>41.4</v>
      </c>
    </row>
    <row r="2484" ht="25.5" customHeight="1">
      <c r="A2484" s="4" t="s">
        <v>4092</v>
      </c>
      <c r="B2484" s="8"/>
      <c r="C2484" s="6" t="s">
        <v>4093</v>
      </c>
      <c r="D2484" s="12">
        <f>D1316+(((D2464-D1316)/29)*25)</f>
        <v>6.518034483</v>
      </c>
    </row>
    <row r="2485" ht="25.5" customHeight="1">
      <c r="A2485" s="4" t="s">
        <v>4094</v>
      </c>
      <c r="B2485" s="8"/>
      <c r="C2485" s="6" t="s">
        <v>155</v>
      </c>
      <c r="D2485" s="12">
        <f>AVERAGE(D2514,D2511)</f>
        <v>25.00633908</v>
      </c>
    </row>
    <row r="2486" ht="25.5" customHeight="1">
      <c r="A2486" s="4" t="s">
        <v>4095</v>
      </c>
      <c r="B2486" s="8"/>
      <c r="C2486" s="6" t="s">
        <v>157</v>
      </c>
      <c r="D2486" s="12">
        <f>D2450+(((D2510-D2450)/11)*8)</f>
        <v>8.28</v>
      </c>
    </row>
    <row r="2487" ht="25.5" customHeight="1">
      <c r="A2487" s="4" t="s">
        <v>4096</v>
      </c>
      <c r="B2487" s="8"/>
      <c r="C2487" s="6" t="s">
        <v>161</v>
      </c>
      <c r="D2487" s="12">
        <f>D2450+(((AVERAGE(D2464,D431)-D2450)/5)*4)</f>
        <v>15.27768</v>
      </c>
    </row>
    <row r="2488" ht="25.5" customHeight="1">
      <c r="A2488" s="4" t="s">
        <v>4097</v>
      </c>
      <c r="B2488" s="8"/>
      <c r="C2488" s="6" t="s">
        <v>163</v>
      </c>
      <c r="D2488" s="12">
        <f>D1052+(((D68-D1052)/19)*14)</f>
        <v>38.64</v>
      </c>
    </row>
    <row r="2489" ht="25.5" customHeight="1">
      <c r="A2489" s="4" t="s">
        <v>4098</v>
      </c>
      <c r="B2489" s="8"/>
      <c r="C2489" s="6" t="s">
        <v>4099</v>
      </c>
      <c r="D2489" s="12">
        <f>D1052+(((D68-D1052)/19)*13)</f>
        <v>35.88</v>
      </c>
    </row>
    <row r="2490" ht="25.5" customHeight="1">
      <c r="A2490" s="4" t="s">
        <v>4100</v>
      </c>
      <c r="B2490" s="8"/>
      <c r="C2490" s="6" t="s">
        <v>4101</v>
      </c>
      <c r="D2490" s="12">
        <f>D1316+(((D2464-D1316)/29)*27)</f>
        <v>6.738517241</v>
      </c>
    </row>
    <row r="2491" ht="25.5" customHeight="1">
      <c r="A2491" s="4" t="s">
        <v>4102</v>
      </c>
      <c r="B2491" s="8"/>
      <c r="C2491" s="6" t="s">
        <v>4103</v>
      </c>
      <c r="D2491" s="12">
        <f>AVERAGE(D2467,D2443,D2466)</f>
        <v>9.2</v>
      </c>
    </row>
    <row r="2492" ht="25.5" customHeight="1">
      <c r="A2492" s="4" t="s">
        <v>4104</v>
      </c>
      <c r="B2492" s="8"/>
      <c r="C2492" s="6" t="s">
        <v>3514</v>
      </c>
      <c r="D2492" s="12">
        <f>AVERAGE(D2464,D2437,D2490,D2504)</f>
        <v>7.759492816</v>
      </c>
    </row>
    <row r="2493" ht="25.5" customHeight="1">
      <c r="A2493" s="4" t="s">
        <v>4105</v>
      </c>
      <c r="B2493" s="8"/>
      <c r="C2493" s="6" t="s">
        <v>167</v>
      </c>
      <c r="D2493" s="12">
        <f>D1316+(((D2464-D1316)/29)*26)</f>
        <v>6.628275862</v>
      </c>
    </row>
    <row r="2494" ht="25.5" customHeight="1">
      <c r="A2494" s="4" t="s">
        <v>4106</v>
      </c>
      <c r="B2494" s="8"/>
      <c r="C2494" s="6" t="s">
        <v>169</v>
      </c>
      <c r="D2494" s="7">
        <f>D742+(((D2442-D742)/9)*8)</f>
        <v>24.67651579</v>
      </c>
    </row>
    <row r="2495" ht="25.5" customHeight="1">
      <c r="A2495" s="4" t="s">
        <v>4107</v>
      </c>
      <c r="B2495" s="8"/>
      <c r="C2495" s="6" t="s">
        <v>2919</v>
      </c>
      <c r="D2495" s="12">
        <f>D2447</f>
        <v>22.81884</v>
      </c>
    </row>
    <row r="2496" ht="25.5" customHeight="1">
      <c r="A2496" s="4" t="s">
        <v>4108</v>
      </c>
      <c r="B2496" s="8"/>
      <c r="C2496" s="6" t="s">
        <v>171</v>
      </c>
      <c r="D2496" s="12">
        <f>AVERAGE(D2449,D2504,D2432)</f>
        <v>10.41820115</v>
      </c>
    </row>
    <row r="2497" ht="25.5" customHeight="1">
      <c r="A2497" s="4" t="s">
        <v>4109</v>
      </c>
      <c r="B2497" s="8"/>
      <c r="C2497" s="6" t="s">
        <v>4110</v>
      </c>
      <c r="D2497" s="12">
        <f>AVERAGE(D1034,D2454)</f>
        <v>0.58695</v>
      </c>
    </row>
    <row r="2498" ht="25.5" customHeight="1">
      <c r="A2498" s="4" t="s">
        <v>4111</v>
      </c>
      <c r="B2498" s="8"/>
      <c r="C2498" s="6" t="s">
        <v>4112</v>
      </c>
      <c r="D2498" s="12">
        <f>D2502</f>
        <v>18.43901724</v>
      </c>
    </row>
    <row r="2499" ht="25.5" customHeight="1">
      <c r="A2499" s="4" t="s">
        <v>4113</v>
      </c>
      <c r="B2499" s="8"/>
      <c r="C2499" s="6" t="s">
        <v>173</v>
      </c>
      <c r="D2499" s="12">
        <f>AVERAGE(D2472,D2474,D2451)</f>
        <v>18.4</v>
      </c>
    </row>
    <row r="2500" ht="25.5" customHeight="1">
      <c r="A2500" s="4" t="s">
        <v>4114</v>
      </c>
      <c r="B2500" s="8"/>
      <c r="C2500" s="6" t="s">
        <v>4115</v>
      </c>
      <c r="D2500" s="12">
        <f>AVERAGE(D2507,D2456,D2498)</f>
        <v>13.04893487</v>
      </c>
    </row>
    <row r="2501" ht="25.5" customHeight="1">
      <c r="A2501" s="4" t="s">
        <v>4116</v>
      </c>
      <c r="B2501" s="8"/>
      <c r="C2501" s="6" t="s">
        <v>301</v>
      </c>
      <c r="D2501" s="12">
        <f>AVERAGE(D2493,D2490,D2437)</f>
        <v>6.738517241</v>
      </c>
    </row>
    <row r="2502" ht="25.5" customHeight="1">
      <c r="A2502" s="4" t="s">
        <v>4117</v>
      </c>
      <c r="B2502" s="8"/>
      <c r="C2502" s="6" t="s">
        <v>745</v>
      </c>
      <c r="D2502" s="12">
        <f>D2450+(((D2484-D2450)/6)*3)</f>
        <v>18.43901724</v>
      </c>
    </row>
    <row r="2503" ht="25.5" customHeight="1">
      <c r="A2503" s="4" t="s">
        <v>4118</v>
      </c>
      <c r="B2503" s="8"/>
      <c r="C2503" s="6" t="s">
        <v>4119</v>
      </c>
      <c r="D2503" s="12">
        <f>AVERAGE(D2449,D2504,D2464)</f>
        <v>10.63868391</v>
      </c>
    </row>
    <row r="2504" ht="25.5" customHeight="1">
      <c r="A2504" s="4" t="s">
        <v>4120</v>
      </c>
      <c r="B2504" s="8"/>
      <c r="C2504" s="6" t="s">
        <v>4121</v>
      </c>
      <c r="D2504" s="12">
        <f>D2450+(((D2484-D2450)/6)*5)</f>
        <v>10.4916954</v>
      </c>
    </row>
    <row r="2505" ht="25.5" customHeight="1">
      <c r="A2505" s="4" t="s">
        <v>4122</v>
      </c>
      <c r="B2505" s="8"/>
      <c r="C2505" s="6" t="s">
        <v>1903</v>
      </c>
      <c r="D2505" s="12">
        <f>D1052+(((D68-D1052)/19)*9)</f>
        <v>24.84</v>
      </c>
    </row>
    <row r="2506" ht="25.5" customHeight="1">
      <c r="A2506" s="4" t="s">
        <v>4123</v>
      </c>
      <c r="B2506" s="8"/>
      <c r="C2506" s="6" t="s">
        <v>2950</v>
      </c>
      <c r="D2506" s="12">
        <f>D2450+(((AVERAGE(D2464,D431)-D2450)/5)*1)</f>
        <v>26.58942</v>
      </c>
    </row>
    <row r="2507" ht="25.5" customHeight="1">
      <c r="A2507" s="4" t="s">
        <v>4124</v>
      </c>
      <c r="B2507" s="8"/>
      <c r="C2507" s="6" t="s">
        <v>312</v>
      </c>
      <c r="D2507" s="12">
        <f>AVERAGE(D2432,D2438)</f>
        <v>6.242431034</v>
      </c>
    </row>
    <row r="2508" ht="25.5" customHeight="1">
      <c r="A2508" s="4" t="s">
        <v>4125</v>
      </c>
      <c r="B2508" s="8"/>
      <c r="C2508" s="6" t="s">
        <v>4126</v>
      </c>
      <c r="D2508" s="12">
        <f>AVERAGE(D2462,D2487,D2464)</f>
        <v>13.76164667</v>
      </c>
    </row>
    <row r="2509" ht="25.5" customHeight="1">
      <c r="A2509" s="4" t="s">
        <v>4127</v>
      </c>
      <c r="B2509" s="8"/>
      <c r="C2509" s="6" t="s">
        <v>318</v>
      </c>
      <c r="D2509" s="12">
        <f>D2478+(((D1706-D2478)/9)*1)</f>
        <v>6.554675181</v>
      </c>
    </row>
    <row r="2510" ht="25.5" customHeight="1">
      <c r="A2510" s="4" t="s">
        <v>4128</v>
      </c>
      <c r="B2510" s="8"/>
      <c r="C2510" s="9" t="s">
        <v>183</v>
      </c>
      <c r="D2510" s="12">
        <v>0.0</v>
      </c>
      <c r="E2510" s="10" t="s">
        <v>4129</v>
      </c>
    </row>
    <row r="2511" ht="25.5" customHeight="1">
      <c r="A2511" s="4" t="s">
        <v>4130</v>
      </c>
      <c r="B2511" s="8"/>
      <c r="C2511" s="6" t="s">
        <v>1727</v>
      </c>
      <c r="D2511" s="12">
        <f>D2450+(((D2484-D2450)/6)*2)</f>
        <v>22.41267816</v>
      </c>
    </row>
    <row r="2512" ht="25.5" customHeight="1">
      <c r="A2512" s="4" t="s">
        <v>4131</v>
      </c>
      <c r="B2512" s="8"/>
      <c r="C2512" s="6" t="s">
        <v>988</v>
      </c>
      <c r="D2512" s="12">
        <f>AVERAGE(D2494,D1107)</f>
        <v>21.75303158</v>
      </c>
    </row>
    <row r="2513" ht="25.5" customHeight="1">
      <c r="A2513" s="4" t="s">
        <v>4132</v>
      </c>
      <c r="B2513" s="8"/>
      <c r="C2513" s="6" t="s">
        <v>1553</v>
      </c>
      <c r="D2513" s="12">
        <f>D2476+(((D2941-D2476)/7)*4)</f>
        <v>9.043743477</v>
      </c>
    </row>
    <row r="2514" ht="25.5" customHeight="1">
      <c r="A2514" s="4" t="s">
        <v>4133</v>
      </c>
      <c r="B2514" s="8"/>
      <c r="C2514" s="6" t="s">
        <v>1735</v>
      </c>
      <c r="D2514" s="12">
        <f>D1052+(((D68-D1052)/19)*10)</f>
        <v>27.6</v>
      </c>
    </row>
    <row r="2515" ht="25.5" customHeight="1">
      <c r="A2515" s="4" t="s">
        <v>4134</v>
      </c>
      <c r="B2515" s="8"/>
      <c r="C2515" s="6" t="s">
        <v>1559</v>
      </c>
      <c r="D2515" s="12">
        <f>AVERAGE(D2469,D2455,D2510,D145)</f>
        <v>2.15385</v>
      </c>
    </row>
    <row r="2516" ht="25.5" customHeight="1">
      <c r="A2516" s="4" t="s">
        <v>4135</v>
      </c>
      <c r="B2516" s="8"/>
      <c r="C2516" s="6" t="s">
        <v>4136</v>
      </c>
      <c r="D2516" s="12">
        <f>AVERAGE(D2511,D2526,D2514)</f>
        <v>25.46633908</v>
      </c>
    </row>
    <row r="2517" ht="25.5" customHeight="1">
      <c r="A2517" s="4" t="s">
        <v>4137</v>
      </c>
      <c r="B2517" s="8"/>
      <c r="C2517" s="6" t="s">
        <v>4138</v>
      </c>
      <c r="D2517" s="12">
        <f>D2521+(((D1668-D2521)/3)*1)</f>
        <v>8.019532445</v>
      </c>
    </row>
    <row r="2518" ht="25.5" customHeight="1">
      <c r="A2518" s="4" t="s">
        <v>4139</v>
      </c>
      <c r="B2518" s="8"/>
      <c r="C2518" s="6" t="s">
        <v>326</v>
      </c>
      <c r="D2518" s="12">
        <f>AVERAGE(D2438,D2432,D2478)</f>
        <v>6.297551724</v>
      </c>
    </row>
    <row r="2519" ht="25.5" customHeight="1">
      <c r="A2519" s="4" t="s">
        <v>4140</v>
      </c>
      <c r="B2519" s="8"/>
      <c r="C2519" s="6" t="s">
        <v>328</v>
      </c>
      <c r="D2519" s="12">
        <f>AVERAGE(D2435,D2508,D2524,D2520)</f>
        <v>15.4648904</v>
      </c>
    </row>
    <row r="2520" ht="25.5" customHeight="1">
      <c r="A2520" s="4" t="s">
        <v>4141</v>
      </c>
      <c r="B2520" s="8"/>
      <c r="C2520" s="6" t="s">
        <v>1025</v>
      </c>
      <c r="D2520" s="12">
        <f>AVERAGE(D2462,D2447)</f>
        <v>20.93355</v>
      </c>
    </row>
    <row r="2521" ht="25.5" customHeight="1">
      <c r="A2521" s="4" t="s">
        <v>4142</v>
      </c>
      <c r="B2521" s="8"/>
      <c r="C2521" s="6" t="s">
        <v>197</v>
      </c>
      <c r="D2521" s="12">
        <f>D2476+(((D2941-D2476)/7)*3)</f>
        <v>8.458196923</v>
      </c>
    </row>
    <row r="2522" ht="25.5" customHeight="1">
      <c r="A2522" s="4" t="s">
        <v>4143</v>
      </c>
      <c r="B2522" s="8"/>
      <c r="C2522" s="6" t="s">
        <v>1028</v>
      </c>
      <c r="D2522" s="12">
        <f>AVERAGE(D2467,D2499,D2482,D2481,D70)</f>
        <v>28.52</v>
      </c>
    </row>
    <row r="2523" ht="25.5" customHeight="1">
      <c r="A2523" s="4" t="s">
        <v>4144</v>
      </c>
      <c r="B2523" s="8"/>
      <c r="C2523" s="6" t="s">
        <v>4145</v>
      </c>
      <c r="D2523" s="12">
        <f>AVERAGE(D1038,D2497,D2458,D2440,D2471)</f>
        <v>8.419170526</v>
      </c>
    </row>
    <row r="2524" ht="25.5" customHeight="1">
      <c r="A2524" s="4" t="s">
        <v>4146</v>
      </c>
      <c r="B2524" s="8"/>
      <c r="C2524" s="6" t="s">
        <v>331</v>
      </c>
      <c r="D2524" s="12">
        <f>AVERAGE(D2502,D2449)</f>
        <v>16.45218678</v>
      </c>
    </row>
    <row r="2525" ht="25.5" customHeight="1">
      <c r="A2525" s="4" t="s">
        <v>4147</v>
      </c>
      <c r="B2525" s="8"/>
      <c r="C2525" s="6" t="s">
        <v>1438</v>
      </c>
      <c r="D2525" s="12">
        <f>D1052+(((D68-D1052)/19)*12)</f>
        <v>33.12</v>
      </c>
    </row>
    <row r="2526" ht="25.5" customHeight="1">
      <c r="A2526" s="4" t="s">
        <v>4148</v>
      </c>
      <c r="B2526" s="11"/>
      <c r="C2526" s="6" t="s">
        <v>1747</v>
      </c>
      <c r="D2526" s="12">
        <f>D2450+(((D2484-D2450)/6)*1)</f>
        <v>26.38633908</v>
      </c>
    </row>
    <row r="2527" ht="25.5" customHeight="1">
      <c r="A2527" s="4" t="s">
        <v>4149</v>
      </c>
      <c r="B2527" s="5" t="s">
        <v>4150</v>
      </c>
      <c r="C2527" s="6" t="s">
        <v>1581</v>
      </c>
      <c r="D2527" s="12">
        <f>AVERAGE(D2607,D2671)</f>
        <v>8.464166667</v>
      </c>
    </row>
    <row r="2528" ht="25.5" customHeight="1">
      <c r="A2528" s="4" t="s">
        <v>4151</v>
      </c>
      <c r="B2528" s="8"/>
      <c r="C2528" s="6" t="s">
        <v>4152</v>
      </c>
      <c r="D2528" s="12">
        <f>AVERAGE(D2594,D2691,D2682)</f>
        <v>6.465531136</v>
      </c>
    </row>
    <row r="2529" ht="25.5" customHeight="1">
      <c r="A2529" s="4" t="s">
        <v>4153</v>
      </c>
      <c r="B2529" s="8"/>
      <c r="C2529" s="6" t="s">
        <v>4154</v>
      </c>
      <c r="D2529" s="12">
        <f>AVERAGE(D2563,D2754,D2647)</f>
        <v>13.119272</v>
      </c>
    </row>
    <row r="2530" ht="25.5" customHeight="1">
      <c r="A2530" s="4" t="s">
        <v>4155</v>
      </c>
      <c r="B2530" s="8"/>
      <c r="C2530" s="6" t="s">
        <v>4156</v>
      </c>
      <c r="D2530" s="12">
        <f>D2731</f>
        <v>4.464615385</v>
      </c>
    </row>
    <row r="2531" ht="25.5" customHeight="1">
      <c r="A2531" s="4" t="s">
        <v>4157</v>
      </c>
      <c r="B2531" s="8"/>
      <c r="C2531" s="6" t="s">
        <v>4158</v>
      </c>
      <c r="D2531" s="12">
        <f>D2769</f>
        <v>3.073</v>
      </c>
    </row>
    <row r="2532" ht="25.5" customHeight="1">
      <c r="A2532" s="4" t="s">
        <v>4159</v>
      </c>
      <c r="B2532" s="8"/>
      <c r="C2532" s="6" t="s">
        <v>3742</v>
      </c>
      <c r="D2532" s="12">
        <f>AVERAGE(D2559,D2717)</f>
        <v>15.84940556</v>
      </c>
    </row>
    <row r="2533" ht="25.5" customHeight="1">
      <c r="A2533" s="4" t="s">
        <v>4160</v>
      </c>
      <c r="B2533" s="8"/>
      <c r="C2533" s="6" t="s">
        <v>4161</v>
      </c>
      <c r="D2533" s="12">
        <f>D2541</f>
        <v>4.464615385</v>
      </c>
    </row>
    <row r="2534" ht="25.5" customHeight="1">
      <c r="A2534" s="4" t="s">
        <v>4162</v>
      </c>
      <c r="B2534" s="8"/>
      <c r="C2534" s="6" t="s">
        <v>4163</v>
      </c>
      <c r="D2534" s="12">
        <f>D2620+(((D2627-D2620)/7)*5)</f>
        <v>1.594505495</v>
      </c>
    </row>
    <row r="2535" ht="25.5" customHeight="1">
      <c r="A2535" s="4" t="s">
        <v>4164</v>
      </c>
      <c r="B2535" s="8"/>
      <c r="C2535" s="6" t="s">
        <v>4165</v>
      </c>
      <c r="D2535" s="12">
        <f>AVERAGE(D2667,D1957)</f>
        <v>15.14038462</v>
      </c>
    </row>
    <row r="2536" ht="25.5" customHeight="1">
      <c r="A2536" s="4" t="s">
        <v>4166</v>
      </c>
      <c r="B2536" s="8"/>
      <c r="C2536" s="6" t="s">
        <v>4167</v>
      </c>
      <c r="D2536" s="12">
        <f>AVERAGE(D2659,D2656,D2689)</f>
        <v>4.023826618</v>
      </c>
    </row>
    <row r="2537" ht="25.5" customHeight="1">
      <c r="A2537" s="4" t="s">
        <v>4168</v>
      </c>
      <c r="B2537" s="8"/>
      <c r="C2537" s="6" t="s">
        <v>4169</v>
      </c>
      <c r="D2537" s="12">
        <f>AVERAGE(D2753,D2554,D2601)</f>
        <v>5.633919414</v>
      </c>
    </row>
    <row r="2538" ht="25.5" customHeight="1">
      <c r="A2538" s="4" t="s">
        <v>4170</v>
      </c>
      <c r="B2538" s="8"/>
      <c r="C2538" s="6" t="s">
        <v>4171</v>
      </c>
      <c r="D2538" s="12">
        <f>AVERAGE(D2531,D2770)</f>
        <v>3.073</v>
      </c>
    </row>
    <row r="2539" ht="25.5" customHeight="1">
      <c r="A2539" s="4" t="s">
        <v>4172</v>
      </c>
      <c r="B2539" s="8"/>
      <c r="C2539" s="6" t="s">
        <v>4173</v>
      </c>
      <c r="D2539" s="12">
        <f>AVERAGE(D2731,D2675)</f>
        <v>4.464615385</v>
      </c>
    </row>
    <row r="2540" ht="25.5" customHeight="1">
      <c r="A2540" s="4" t="s">
        <v>4174</v>
      </c>
      <c r="B2540" s="8"/>
      <c r="C2540" s="6" t="s">
        <v>1764</v>
      </c>
      <c r="D2540" s="12">
        <f>D2635+(((D2766-D2635)/13)*3)</f>
        <v>11.16153846</v>
      </c>
    </row>
    <row r="2541" ht="25.5" customHeight="1">
      <c r="A2541" s="4" t="s">
        <v>4175</v>
      </c>
      <c r="B2541" s="8"/>
      <c r="C2541" s="6" t="s">
        <v>4176</v>
      </c>
      <c r="D2541" s="12">
        <f>D2635+(((D2766-D2635)/13)*9)</f>
        <v>4.464615385</v>
      </c>
    </row>
    <row r="2542" ht="25.5" customHeight="1">
      <c r="A2542" s="4" t="s">
        <v>4177</v>
      </c>
      <c r="B2542" s="8"/>
      <c r="C2542" s="6" t="s">
        <v>4178</v>
      </c>
      <c r="D2542" s="12">
        <f>AVERAGE(D2612,D2656,D2572,D2631,D2753)</f>
        <v>6.44276044</v>
      </c>
    </row>
    <row r="2543" ht="25.5" customHeight="1">
      <c r="A2543" s="4" t="s">
        <v>4179</v>
      </c>
      <c r="B2543" s="8"/>
      <c r="C2543" s="6" t="s">
        <v>4180</v>
      </c>
      <c r="D2543" s="12">
        <f>D2640</f>
        <v>8.074424908</v>
      </c>
    </row>
    <row r="2544" ht="25.5" customHeight="1">
      <c r="A2544" s="4" t="s">
        <v>4181</v>
      </c>
      <c r="B2544" s="8"/>
      <c r="C2544" s="6" t="s">
        <v>4182</v>
      </c>
      <c r="D2544" s="12">
        <f>AVERAGE(D2687,D2635,D2652)</f>
        <v>14.13794872</v>
      </c>
    </row>
    <row r="2545" ht="25.5" customHeight="1">
      <c r="A2545" s="4" t="s">
        <v>4183</v>
      </c>
      <c r="B2545" s="8"/>
      <c r="C2545" s="6" t="s">
        <v>4184</v>
      </c>
      <c r="D2545" s="12">
        <f>D2725+(((D158-D2725)/13)*6)</f>
        <v>15.8362583</v>
      </c>
    </row>
    <row r="2546" ht="25.5" customHeight="1">
      <c r="A2546" s="4" t="s">
        <v>4185</v>
      </c>
      <c r="B2546" s="8"/>
      <c r="C2546" s="6" t="s">
        <v>4186</v>
      </c>
      <c r="D2546" s="12">
        <f>AVERAGE(D2627,D2610)</f>
        <v>0</v>
      </c>
    </row>
    <row r="2547" ht="25.5" customHeight="1">
      <c r="A2547" s="4" t="s">
        <v>4187</v>
      </c>
      <c r="B2547" s="8"/>
      <c r="C2547" s="6" t="s">
        <v>4188</v>
      </c>
      <c r="D2547" s="12">
        <f>D2680</f>
        <v>4.836666667</v>
      </c>
    </row>
    <row r="2548" ht="25.5" customHeight="1">
      <c r="A2548" s="4" t="s">
        <v>4189</v>
      </c>
      <c r="B2548" s="8"/>
      <c r="C2548" s="6" t="s">
        <v>4190</v>
      </c>
      <c r="D2548" s="12">
        <f>D2712</f>
        <v>4.10374359</v>
      </c>
    </row>
    <row r="2549" ht="25.5" customHeight="1">
      <c r="A2549" s="4" t="s">
        <v>4191</v>
      </c>
      <c r="B2549" s="8"/>
      <c r="C2549" s="6" t="s">
        <v>4192</v>
      </c>
      <c r="D2549" s="12">
        <f>D2745</f>
        <v>15.98</v>
      </c>
    </row>
    <row r="2550" ht="25.5" customHeight="1">
      <c r="A2550" s="4" t="s">
        <v>4193</v>
      </c>
      <c r="B2550" s="8"/>
      <c r="C2550" s="6" t="s">
        <v>793</v>
      </c>
      <c r="D2550" s="12">
        <f>AVERAGE(D2650,D2592,D2651,D2663)</f>
        <v>2.790384615</v>
      </c>
    </row>
    <row r="2551" ht="25.5" customHeight="1">
      <c r="A2551" s="4" t="s">
        <v>4194</v>
      </c>
      <c r="B2551" s="8"/>
      <c r="C2551" s="6" t="s">
        <v>1297</v>
      </c>
      <c r="D2551" s="12">
        <f>AVERAGE(D2593,D2556)</f>
        <v>11.6944359</v>
      </c>
    </row>
    <row r="2552" ht="25.5" customHeight="1">
      <c r="A2552" s="4" t="s">
        <v>4195</v>
      </c>
      <c r="B2552" s="8"/>
      <c r="C2552" s="6" t="s">
        <v>4196</v>
      </c>
      <c r="D2552" s="12">
        <f>AVERAGE(D2547,D2692,D2670,D2765)</f>
        <v>6.118914835</v>
      </c>
    </row>
    <row r="2553" ht="25.5" customHeight="1">
      <c r="A2553" s="4" t="s">
        <v>4197</v>
      </c>
      <c r="B2553" s="8"/>
      <c r="C2553" s="6" t="s">
        <v>4198</v>
      </c>
      <c r="D2553" s="12">
        <f>AVERAGE(D2753,D2772,D2540)</f>
        <v>10.04538462</v>
      </c>
    </row>
    <row r="2554" ht="25.5" customHeight="1">
      <c r="A2554" s="4" t="s">
        <v>4199</v>
      </c>
      <c r="B2554" s="8"/>
      <c r="C2554" s="6" t="s">
        <v>1781</v>
      </c>
      <c r="D2554" s="12">
        <f>D2620+(((D2627-D2620)/7)*1)</f>
        <v>4.783516484</v>
      </c>
    </row>
    <row r="2555" ht="25.5" customHeight="1">
      <c r="A2555" s="4" t="s">
        <v>4200</v>
      </c>
      <c r="B2555" s="8"/>
      <c r="C2555" s="6" t="s">
        <v>82</v>
      </c>
      <c r="D2555" s="12">
        <f>D2722</f>
        <v>4.464615385</v>
      </c>
    </row>
    <row r="2556" ht="25.5" customHeight="1">
      <c r="A2556" s="4" t="s">
        <v>4201</v>
      </c>
      <c r="B2556" s="8"/>
      <c r="C2556" s="6" t="s">
        <v>4202</v>
      </c>
      <c r="D2556" s="12">
        <f>D2721+(((D2746-D2721)/13)*9)</f>
        <v>11.29221245</v>
      </c>
    </row>
    <row r="2557" ht="25.5" customHeight="1">
      <c r="A2557" s="4" t="s">
        <v>4203</v>
      </c>
      <c r="B2557" s="8"/>
      <c r="C2557" s="6" t="s">
        <v>1952</v>
      </c>
      <c r="D2557" s="12">
        <f>AVERAGE(D2634,D2771)</f>
        <v>3.441474359</v>
      </c>
    </row>
    <row r="2558" ht="25.5" customHeight="1">
      <c r="A2558" s="4" t="s">
        <v>4204</v>
      </c>
      <c r="B2558" s="8"/>
      <c r="C2558" s="6" t="s">
        <v>4205</v>
      </c>
      <c r="D2558" s="12">
        <f>AVERAGE(D2606,D2751,D2698)</f>
        <v>19.30083887</v>
      </c>
    </row>
    <row r="2559" ht="25.5" customHeight="1">
      <c r="A2559" s="4" t="s">
        <v>4206</v>
      </c>
      <c r="B2559" s="8"/>
      <c r="C2559" s="6" t="s">
        <v>4207</v>
      </c>
      <c r="D2559" s="12">
        <f>D2714+(((D2189-D2714)/9)*1)</f>
        <v>15.71881111</v>
      </c>
    </row>
    <row r="2560" ht="25.5" customHeight="1">
      <c r="A2560" s="4" t="s">
        <v>4208</v>
      </c>
      <c r="B2560" s="8"/>
      <c r="C2560" s="6" t="s">
        <v>1079</v>
      </c>
      <c r="D2560" s="12">
        <f>AVERAGE(D2698,D2545,D144,D1125)</f>
        <v>20.73642922</v>
      </c>
    </row>
    <row r="2561" ht="25.5" customHeight="1">
      <c r="A2561" s="4" t="s">
        <v>4209</v>
      </c>
      <c r="B2561" s="8"/>
      <c r="C2561" s="6" t="s">
        <v>4210</v>
      </c>
      <c r="D2561" s="12">
        <f>AVERAGE(D2745,D2717)</f>
        <v>15.98</v>
      </c>
    </row>
    <row r="2562" ht="25.5" customHeight="1">
      <c r="A2562" s="4" t="s">
        <v>4211</v>
      </c>
      <c r="B2562" s="8"/>
      <c r="C2562" s="6" t="s">
        <v>84</v>
      </c>
      <c r="D2562" s="12">
        <f>D2627+(((D1152-D2627)/17)*1)</f>
        <v>7.588235294</v>
      </c>
    </row>
    <row r="2563" ht="25.5" customHeight="1">
      <c r="A2563" s="4" t="s">
        <v>4212</v>
      </c>
      <c r="B2563" s="8"/>
      <c r="C2563" s="6" t="s">
        <v>86</v>
      </c>
      <c r="D2563" s="12">
        <f>D2738</f>
        <v>14.17477679</v>
      </c>
    </row>
    <row r="2564" ht="25.5" customHeight="1">
      <c r="A2564" s="4" t="s">
        <v>4213</v>
      </c>
      <c r="B2564" s="8"/>
      <c r="C2564" s="6" t="s">
        <v>4214</v>
      </c>
      <c r="D2564" s="12">
        <f>AVERAGE(D2570,D2163)</f>
        <v>15.00054167</v>
      </c>
    </row>
    <row r="2565" ht="25.5" customHeight="1">
      <c r="A2565" s="4" t="s">
        <v>4215</v>
      </c>
      <c r="B2565" s="8"/>
      <c r="C2565" s="6" t="s">
        <v>94</v>
      </c>
      <c r="D2565" s="12">
        <f>AVERAGE(D2151,D2769)</f>
        <v>4.4750625</v>
      </c>
    </row>
    <row r="2566" ht="25.5" customHeight="1">
      <c r="A2566" s="4" t="s">
        <v>4216</v>
      </c>
      <c r="B2566" s="8"/>
      <c r="C2566" s="6" t="s">
        <v>4217</v>
      </c>
      <c r="D2566" s="12">
        <f>AVERAGE(D2636,D1957)</f>
        <v>15.14038462</v>
      </c>
    </row>
    <row r="2567" ht="25.5" customHeight="1">
      <c r="A2567" s="4" t="s">
        <v>4218</v>
      </c>
      <c r="B2567" s="8"/>
      <c r="C2567" s="6" t="s">
        <v>4219</v>
      </c>
      <c r="D2567" s="12">
        <f>AVERAGE(D2703,D2694)</f>
        <v>9.281095238</v>
      </c>
    </row>
    <row r="2568" ht="25.5" customHeight="1">
      <c r="A2568" s="4" t="s">
        <v>4220</v>
      </c>
      <c r="B2568" s="8"/>
      <c r="C2568" s="6" t="s">
        <v>4221</v>
      </c>
      <c r="D2568" s="12">
        <f>AVERAGE(D2556,D2747)</f>
        <v>10.88998901</v>
      </c>
    </row>
    <row r="2569" ht="25.5" customHeight="1">
      <c r="A2569" s="4" t="s">
        <v>4222</v>
      </c>
      <c r="B2569" s="8"/>
      <c r="C2569" s="9" t="s">
        <v>4223</v>
      </c>
      <c r="D2569" s="12">
        <v>26.23</v>
      </c>
      <c r="E2569" s="10" t="s">
        <v>4224</v>
      </c>
    </row>
    <row r="2570" ht="25.5" customHeight="1">
      <c r="A2570" s="4" t="s">
        <v>4225</v>
      </c>
      <c r="B2570" s="8"/>
      <c r="C2570" s="6" t="s">
        <v>4226</v>
      </c>
      <c r="D2570" s="12">
        <f>AVERAGE(D2139,D2768)</f>
        <v>15.06583889</v>
      </c>
    </row>
    <row r="2571" ht="25.5" customHeight="1">
      <c r="A2571" s="4" t="s">
        <v>4227</v>
      </c>
      <c r="B2571" s="8"/>
      <c r="C2571" s="6" t="s">
        <v>4228</v>
      </c>
      <c r="D2571" s="12">
        <f>D2620+(((D2627-D2620)/7)*4)</f>
        <v>2.391758242</v>
      </c>
    </row>
    <row r="2572" ht="25.5" customHeight="1">
      <c r="A2572" s="4" t="s">
        <v>4229</v>
      </c>
      <c r="B2572" s="8"/>
      <c r="C2572" s="6" t="s">
        <v>4230</v>
      </c>
      <c r="D2572" s="12">
        <f>D2635+(((D2766-D2635)/13)*7)</f>
        <v>6.696923077</v>
      </c>
    </row>
    <row r="2573" ht="25.5" customHeight="1">
      <c r="A2573" s="4" t="s">
        <v>4231</v>
      </c>
      <c r="B2573" s="8"/>
      <c r="C2573" s="6" t="s">
        <v>1605</v>
      </c>
      <c r="D2573" s="12">
        <f>D2593</f>
        <v>12.09665934</v>
      </c>
    </row>
    <row r="2574" ht="25.5" customHeight="1">
      <c r="A2574" s="4" t="s">
        <v>4232</v>
      </c>
      <c r="B2574" s="8"/>
      <c r="C2574" s="6" t="s">
        <v>4233</v>
      </c>
      <c r="D2574" s="12">
        <f>AVERAGE(D2726,D2568,D2733)</f>
        <v>8.385534799</v>
      </c>
    </row>
    <row r="2575" ht="25.5" customHeight="1">
      <c r="A2575" s="4" t="s">
        <v>4234</v>
      </c>
      <c r="B2575" s="8"/>
      <c r="C2575" s="9" t="s">
        <v>4235</v>
      </c>
      <c r="D2575" s="12">
        <v>15.94</v>
      </c>
      <c r="E2575" s="10" t="s">
        <v>4236</v>
      </c>
    </row>
    <row r="2576" ht="25.5" customHeight="1">
      <c r="A2576" s="4" t="s">
        <v>4237</v>
      </c>
      <c r="B2576" s="8"/>
      <c r="C2576" s="6" t="s">
        <v>4238</v>
      </c>
      <c r="D2576" s="12">
        <f>AVERAGE(D2540,D2687)</f>
        <v>12.27769231</v>
      </c>
    </row>
    <row r="2577" ht="25.5" customHeight="1">
      <c r="A2577" s="4" t="s">
        <v>4239</v>
      </c>
      <c r="B2577" s="8"/>
      <c r="C2577" s="6" t="s">
        <v>4240</v>
      </c>
      <c r="D2577" s="12">
        <f>AVERAGE(D2604,D2625,D2564,D2622,D2699)</f>
        <v>11.71176352</v>
      </c>
    </row>
    <row r="2578" ht="25.5" customHeight="1">
      <c r="A2578" s="4" t="s">
        <v>4241</v>
      </c>
      <c r="B2578" s="8"/>
      <c r="C2578" s="6" t="s">
        <v>4242</v>
      </c>
      <c r="D2578" s="12">
        <f>AVERAGE(D2594,D2764,D2712)</f>
        <v>4.873821734</v>
      </c>
    </row>
    <row r="2579" ht="25.5" customHeight="1">
      <c r="A2579" s="4" t="s">
        <v>4243</v>
      </c>
      <c r="B2579" s="8"/>
      <c r="C2579" s="6" t="s">
        <v>4047</v>
      </c>
      <c r="D2579" s="7">
        <f>D221+(((D2541-D221)/21)*15)</f>
        <v>4.155296703</v>
      </c>
    </row>
    <row r="2580" ht="25.5" customHeight="1">
      <c r="A2580" s="4" t="s">
        <v>4244</v>
      </c>
      <c r="B2580" s="8"/>
      <c r="C2580" s="6" t="s">
        <v>4245</v>
      </c>
      <c r="D2580" s="12">
        <f>D2678</f>
        <v>15.98</v>
      </c>
    </row>
    <row r="2581" ht="25.5" customHeight="1">
      <c r="A2581" s="4" t="s">
        <v>4246</v>
      </c>
      <c r="B2581" s="8"/>
      <c r="C2581" s="6" t="s">
        <v>4247</v>
      </c>
      <c r="D2581" s="7">
        <f>D221+(((D2541-D221)/21)*12)</f>
        <v>4.000637363</v>
      </c>
    </row>
    <row r="2582" ht="25.5" customHeight="1">
      <c r="A2582" s="4" t="s">
        <v>4248</v>
      </c>
      <c r="B2582" s="8"/>
      <c r="C2582" s="6" t="s">
        <v>4249</v>
      </c>
      <c r="D2582" s="12">
        <f>AVERAGE(D1966,D2629)</f>
        <v>19.02587179</v>
      </c>
    </row>
    <row r="2583" ht="25.5" customHeight="1">
      <c r="A2583" s="4" t="s">
        <v>4250</v>
      </c>
      <c r="B2583" s="8"/>
      <c r="C2583" s="9" t="s">
        <v>114</v>
      </c>
      <c r="D2583" s="12">
        <v>9.254</v>
      </c>
      <c r="E2583" s="10" t="s">
        <v>4251</v>
      </c>
    </row>
    <row r="2584" ht="25.5" customHeight="1">
      <c r="A2584" s="4" t="s">
        <v>4252</v>
      </c>
      <c r="B2584" s="8"/>
      <c r="C2584" s="6" t="s">
        <v>845</v>
      </c>
      <c r="D2584" s="12">
        <f>D2682</f>
        <v>7.269978022</v>
      </c>
    </row>
    <row r="2585" ht="25.5" customHeight="1">
      <c r="A2585" s="4" t="s">
        <v>4253</v>
      </c>
      <c r="B2585" s="8"/>
      <c r="C2585" s="6" t="s">
        <v>4254</v>
      </c>
      <c r="D2585" s="12">
        <f>AVERAGE(D2717,D2706,D1955)</f>
        <v>15.14038462</v>
      </c>
    </row>
    <row r="2586" ht="25.5" customHeight="1">
      <c r="A2586" s="4" t="s">
        <v>4255</v>
      </c>
      <c r="B2586" s="8"/>
      <c r="C2586" s="6" t="s">
        <v>529</v>
      </c>
      <c r="D2586" s="12">
        <f>AVERAGE(D2642,D2638)</f>
        <v>23.63156457</v>
      </c>
    </row>
    <row r="2587" ht="25.5" customHeight="1">
      <c r="A2587" s="4" t="s">
        <v>4256</v>
      </c>
      <c r="B2587" s="8"/>
      <c r="C2587" s="9" t="s">
        <v>4257</v>
      </c>
      <c r="D2587" s="12">
        <v>27.14</v>
      </c>
      <c r="E2587" s="10" t="s">
        <v>4258</v>
      </c>
    </row>
    <row r="2588" ht="25.5" customHeight="1">
      <c r="A2588" s="4" t="s">
        <v>4259</v>
      </c>
      <c r="B2588" s="8"/>
      <c r="C2588" s="6" t="s">
        <v>4260</v>
      </c>
      <c r="D2588" s="12">
        <f>D2615</f>
        <v>3.986263736</v>
      </c>
    </row>
    <row r="2589" ht="25.5" customHeight="1">
      <c r="A2589" s="4" t="s">
        <v>4261</v>
      </c>
      <c r="B2589" s="8"/>
      <c r="C2589" s="6" t="s">
        <v>4262</v>
      </c>
      <c r="D2589" s="12">
        <f>D2580</f>
        <v>15.98</v>
      </c>
    </row>
    <row r="2590" ht="25.5" customHeight="1">
      <c r="A2590" s="4" t="s">
        <v>4263</v>
      </c>
      <c r="B2590" s="8"/>
      <c r="C2590" s="6" t="s">
        <v>4264</v>
      </c>
      <c r="D2590" s="12">
        <f>D2665</f>
        <v>1.116153846</v>
      </c>
    </row>
    <row r="2591" ht="25.5" customHeight="1">
      <c r="A2591" s="4" t="s">
        <v>4265</v>
      </c>
      <c r="B2591" s="8"/>
      <c r="C2591" s="6" t="s">
        <v>4266</v>
      </c>
      <c r="D2591" s="12">
        <f>D2616</f>
        <v>15.45762222</v>
      </c>
    </row>
    <row r="2592" ht="25.5" customHeight="1">
      <c r="A2592" s="4" t="s">
        <v>4267</v>
      </c>
      <c r="B2592" s="8"/>
      <c r="C2592" s="6" t="s">
        <v>674</v>
      </c>
      <c r="D2592" s="12">
        <f>AVERAGE(D2766,D2675)</f>
        <v>2.232307692</v>
      </c>
    </row>
    <row r="2593" ht="25.5" customHeight="1">
      <c r="A2593" s="4" t="s">
        <v>4268</v>
      </c>
      <c r="B2593" s="8"/>
      <c r="C2593" s="6" t="s">
        <v>4269</v>
      </c>
      <c r="D2593" s="12">
        <f>D2721+(((D2746-D2721)/13)*10)</f>
        <v>12.09665934</v>
      </c>
    </row>
    <row r="2594" ht="25.5" customHeight="1">
      <c r="A2594" s="4" t="s">
        <v>4270</v>
      </c>
      <c r="B2594" s="8"/>
      <c r="C2594" s="6" t="s">
        <v>4271</v>
      </c>
      <c r="D2594" s="12">
        <f>D2721+(((D2746-D2721)/13)*2)</f>
        <v>5.661084249</v>
      </c>
    </row>
    <row r="2595" ht="25.5" customHeight="1">
      <c r="A2595" s="4" t="s">
        <v>4272</v>
      </c>
      <c r="B2595" s="8"/>
      <c r="C2595" s="6" t="s">
        <v>1328</v>
      </c>
      <c r="D2595" s="12">
        <f>AVERAGE(D2744,D2660)</f>
        <v>4.232626374</v>
      </c>
    </row>
    <row r="2596" ht="25.5" customHeight="1">
      <c r="A2596" s="4" t="s">
        <v>4273</v>
      </c>
      <c r="B2596" s="8"/>
      <c r="C2596" s="6" t="s">
        <v>540</v>
      </c>
      <c r="D2596" s="7">
        <f>D221+(((D2541-D221)/21)*10)</f>
        <v>3.897531136</v>
      </c>
    </row>
    <row r="2597" ht="25.5" customHeight="1">
      <c r="A2597" s="4" t="s">
        <v>4274</v>
      </c>
      <c r="B2597" s="8"/>
      <c r="C2597" s="9" t="s">
        <v>1618</v>
      </c>
      <c r="D2597" s="12">
        <v>14.51</v>
      </c>
      <c r="E2597" s="10" t="s">
        <v>4275</v>
      </c>
    </row>
    <row r="2598" ht="25.5" customHeight="1">
      <c r="A2598" s="4" t="s">
        <v>4276</v>
      </c>
      <c r="B2598" s="8"/>
      <c r="C2598" s="6" t="s">
        <v>4277</v>
      </c>
      <c r="D2598" s="12">
        <f>AVERAGE(D2708,D2593)</f>
        <v>12.49888278</v>
      </c>
    </row>
    <row r="2599" ht="25.5" customHeight="1">
      <c r="A2599" s="4" t="s">
        <v>4278</v>
      </c>
      <c r="B2599" s="8"/>
      <c r="C2599" s="6" t="s">
        <v>4279</v>
      </c>
      <c r="D2599" s="12">
        <f>D2635+(((D2766-D2635)/13)*2)</f>
        <v>12.27769231</v>
      </c>
    </row>
    <row r="2600" ht="25.5" customHeight="1">
      <c r="A2600" s="4" t="s">
        <v>4280</v>
      </c>
      <c r="B2600" s="8"/>
      <c r="C2600" s="6" t="s">
        <v>869</v>
      </c>
      <c r="D2600" s="12">
        <f>AVERAGE(D2569,D2642)</f>
        <v>25.36385486</v>
      </c>
    </row>
    <row r="2601" ht="25.5" customHeight="1">
      <c r="A2601" s="4" t="s">
        <v>4281</v>
      </c>
      <c r="B2601" s="8"/>
      <c r="C2601" s="6" t="s">
        <v>124</v>
      </c>
      <c r="D2601" s="12">
        <f>D2620+(((D2627-D2620)/7)*3)</f>
        <v>3.189010989</v>
      </c>
    </row>
    <row r="2602" ht="25.5" customHeight="1">
      <c r="A2602" s="4" t="s">
        <v>4282</v>
      </c>
      <c r="B2602" s="8"/>
      <c r="C2602" s="6" t="s">
        <v>4283</v>
      </c>
      <c r="D2602" s="12">
        <f>D2703</f>
        <v>9.683318681</v>
      </c>
    </row>
    <row r="2603" ht="25.5" customHeight="1">
      <c r="A2603" s="4" t="s">
        <v>4284</v>
      </c>
      <c r="B2603" s="8"/>
      <c r="C2603" s="6" t="s">
        <v>872</v>
      </c>
      <c r="D2603" s="12">
        <f>D2621</f>
        <v>15.98</v>
      </c>
    </row>
    <row r="2604" ht="25.5" customHeight="1">
      <c r="A2604" s="4" t="s">
        <v>4285</v>
      </c>
      <c r="B2604" s="8"/>
      <c r="C2604" s="6" t="s">
        <v>4286</v>
      </c>
      <c r="D2604" s="12">
        <f>AVERAGE(D2770)</f>
        <v>3.073</v>
      </c>
    </row>
    <row r="2605" ht="25.5" customHeight="1">
      <c r="A2605" s="4" t="s">
        <v>4287</v>
      </c>
      <c r="B2605" s="8"/>
      <c r="C2605" s="6" t="s">
        <v>4288</v>
      </c>
      <c r="D2605" s="12">
        <f>AVERAGE(D2534,D2763,D2627)</f>
        <v>0.7972527473</v>
      </c>
    </row>
    <row r="2606" ht="25.5" customHeight="1">
      <c r="A2606" s="4" t="s">
        <v>4289</v>
      </c>
      <c r="B2606" s="8"/>
      <c r="C2606" s="6" t="s">
        <v>126</v>
      </c>
      <c r="D2606" s="12">
        <f>D2725+(((D158-D2725)/13)*3)</f>
        <v>21.03312915</v>
      </c>
    </row>
    <row r="2607" ht="25.5" customHeight="1">
      <c r="A2607" s="4" t="s">
        <v>4290</v>
      </c>
      <c r="B2607" s="8"/>
      <c r="C2607" s="6" t="s">
        <v>4291</v>
      </c>
      <c r="D2607" s="12">
        <f>D2597+(((D2696-D2597)/6)*2)</f>
        <v>9.673333333</v>
      </c>
    </row>
    <row r="2608" ht="25.5" customHeight="1">
      <c r="A2608" s="4" t="s">
        <v>4292</v>
      </c>
      <c r="B2608" s="8"/>
      <c r="C2608" s="6" t="s">
        <v>4293</v>
      </c>
      <c r="D2608" s="12">
        <f>D2635+(((D2766-D2635)/13)*11)</f>
        <v>2.232307692</v>
      </c>
    </row>
    <row r="2609" ht="25.5" customHeight="1">
      <c r="A2609" s="4" t="s">
        <v>4294</v>
      </c>
      <c r="B2609" s="8"/>
      <c r="C2609" s="6" t="s">
        <v>4295</v>
      </c>
      <c r="D2609" s="12">
        <f>AVERAGE(D2528,D2584)</f>
        <v>6.867754579</v>
      </c>
    </row>
    <row r="2610" ht="25.5" customHeight="1">
      <c r="A2610" s="4" t="s">
        <v>4296</v>
      </c>
      <c r="B2610" s="8"/>
      <c r="C2610" s="6" t="s">
        <v>4297</v>
      </c>
      <c r="D2610" s="12">
        <f>D2696</f>
        <v>0</v>
      </c>
    </row>
    <row r="2611" ht="25.5" customHeight="1">
      <c r="A2611" s="4" t="s">
        <v>4298</v>
      </c>
      <c r="B2611" s="8"/>
      <c r="C2611" s="6" t="s">
        <v>4299</v>
      </c>
      <c r="D2611" s="12">
        <f>AVERAGE(D2580,D2679,D2543,D2734)</f>
        <v>12.22832418</v>
      </c>
    </row>
    <row r="2612" ht="25.5" customHeight="1">
      <c r="A2612" s="4" t="s">
        <v>4300</v>
      </c>
      <c r="B2612" s="8"/>
      <c r="C2612" s="6" t="s">
        <v>4301</v>
      </c>
      <c r="D2612" s="7">
        <f>D221+(((D2541-D221)/21)*19)</f>
        <v>4.361509158</v>
      </c>
    </row>
    <row r="2613" ht="25.5" customHeight="1">
      <c r="A2613" s="4" t="s">
        <v>4302</v>
      </c>
      <c r="B2613" s="8"/>
      <c r="C2613" s="6" t="s">
        <v>4303</v>
      </c>
      <c r="D2613" s="12">
        <f>AVERAGE(D2640,D2691,D2682)</f>
        <v>7.269978022</v>
      </c>
    </row>
    <row r="2614" ht="25.5" customHeight="1">
      <c r="A2614" s="4" t="s">
        <v>4304</v>
      </c>
      <c r="B2614" s="8"/>
      <c r="C2614" s="6" t="s">
        <v>4305</v>
      </c>
      <c r="D2614" s="12">
        <f>AVERAGE(D2722,D2539,D2654,D2588)</f>
        <v>4.305164835</v>
      </c>
    </row>
    <row r="2615" ht="25.5" customHeight="1">
      <c r="A2615" s="4" t="s">
        <v>4306</v>
      </c>
      <c r="B2615" s="8"/>
      <c r="C2615" s="6" t="s">
        <v>4307</v>
      </c>
      <c r="D2615" s="12">
        <f>D2620+(((D2627-D2620)/7)*2)</f>
        <v>3.986263736</v>
      </c>
    </row>
    <row r="2616" ht="25.5" customHeight="1">
      <c r="A2616" s="4" t="s">
        <v>4308</v>
      </c>
      <c r="B2616" s="8"/>
      <c r="C2616" s="6" t="s">
        <v>1632</v>
      </c>
      <c r="D2616" s="12">
        <f>D2714+(((D2189-D2714)/9)*2)</f>
        <v>15.45762222</v>
      </c>
    </row>
    <row r="2617" ht="25.5" customHeight="1">
      <c r="A2617" s="4" t="s">
        <v>4309</v>
      </c>
      <c r="B2617" s="8"/>
      <c r="C2617" s="6" t="s">
        <v>1819</v>
      </c>
      <c r="D2617" s="12">
        <f>AVERAGE(D2575,D2587,D2569)</f>
        <v>23.10333333</v>
      </c>
    </row>
    <row r="2618" ht="25.5" customHeight="1">
      <c r="A2618" s="4" t="s">
        <v>4310</v>
      </c>
      <c r="B2618" s="8"/>
      <c r="C2618" s="6" t="s">
        <v>4311</v>
      </c>
      <c r="D2618" s="12">
        <f>D2655+(((D1544-D2655)/14)*3)</f>
        <v>21.26216518</v>
      </c>
    </row>
    <row r="2619" ht="25.5" customHeight="1">
      <c r="A2619" s="4" t="s">
        <v>4312</v>
      </c>
      <c r="B2619" s="8"/>
      <c r="C2619" s="6" t="s">
        <v>4313</v>
      </c>
      <c r="D2619" s="12">
        <f>AVERAGE(D2763,D2696,D2762,D2680)</f>
        <v>2.013063187</v>
      </c>
    </row>
    <row r="2620" ht="25.5" customHeight="1">
      <c r="A2620" s="4" t="s">
        <v>4314</v>
      </c>
      <c r="B2620" s="8"/>
      <c r="C2620" s="6" t="s">
        <v>3277</v>
      </c>
      <c r="D2620" s="12">
        <f>D2635+(((D2766-D2635)/13)*8)</f>
        <v>5.580769231</v>
      </c>
    </row>
    <row r="2621" ht="25.5" customHeight="1">
      <c r="A2621" s="4" t="s">
        <v>4315</v>
      </c>
      <c r="B2621" s="8"/>
      <c r="C2621" s="6" t="s">
        <v>132</v>
      </c>
      <c r="D2621" s="12">
        <f>D2717</f>
        <v>15.98</v>
      </c>
    </row>
    <row r="2622" ht="25.5" customHeight="1">
      <c r="A2622" s="4" t="s">
        <v>4316</v>
      </c>
      <c r="B2622" s="8"/>
      <c r="C2622" s="6" t="s">
        <v>894</v>
      </c>
      <c r="D2622" s="12">
        <f>AVERAGE(D2570,D2591,D2549)</f>
        <v>15.5011537</v>
      </c>
    </row>
    <row r="2623" ht="25.5" customHeight="1">
      <c r="A2623" s="4" t="s">
        <v>4317</v>
      </c>
      <c r="B2623" s="8"/>
      <c r="C2623" s="6" t="s">
        <v>689</v>
      </c>
      <c r="D2623" s="12">
        <f>AVERAGE(D2573,D2598,D2544,D2576)</f>
        <v>12.75279579</v>
      </c>
    </row>
    <row r="2624" ht="25.5" customHeight="1">
      <c r="A2624" s="4" t="s">
        <v>4318</v>
      </c>
      <c r="B2624" s="8"/>
      <c r="C2624" s="6" t="s">
        <v>4319</v>
      </c>
      <c r="D2624" s="12">
        <f>D2643</f>
        <v>15.71881111</v>
      </c>
    </row>
    <row r="2625" ht="25.5" customHeight="1">
      <c r="A2625" s="4" t="s">
        <v>4320</v>
      </c>
      <c r="B2625" s="8"/>
      <c r="C2625" s="6" t="s">
        <v>4073</v>
      </c>
      <c r="D2625" s="12">
        <f>AVERAGE(D2770,D2163)</f>
        <v>9.004122222</v>
      </c>
    </row>
    <row r="2626" ht="25.5" customHeight="1">
      <c r="A2626" s="4" t="s">
        <v>4321</v>
      </c>
      <c r="B2626" s="8"/>
      <c r="C2626" s="6" t="s">
        <v>1119</v>
      </c>
      <c r="D2626" s="12">
        <f>D2649</f>
        <v>15.17647059</v>
      </c>
    </row>
    <row r="2627" ht="25.5" customHeight="1">
      <c r="A2627" s="4" t="s">
        <v>4322</v>
      </c>
      <c r="B2627" s="8"/>
      <c r="C2627" s="6" t="s">
        <v>900</v>
      </c>
      <c r="D2627" s="12">
        <f>D2696</f>
        <v>0</v>
      </c>
    </row>
    <row r="2628" ht="25.5" customHeight="1">
      <c r="A2628" s="4" t="s">
        <v>4323</v>
      </c>
      <c r="B2628" s="8"/>
      <c r="C2628" s="6" t="s">
        <v>213</v>
      </c>
      <c r="D2628" s="12">
        <f>D2655+(((D1544-D2655)/14)*4)</f>
        <v>28.34955357</v>
      </c>
    </row>
    <row r="2629" ht="25.5" customHeight="1">
      <c r="A2629" s="4" t="s">
        <v>4324</v>
      </c>
      <c r="B2629" s="8"/>
      <c r="C2629" s="6" t="s">
        <v>4325</v>
      </c>
      <c r="D2629" s="12">
        <f>AVERAGE(D1955,D2706)</f>
        <v>14.72057692</v>
      </c>
    </row>
    <row r="2630" ht="25.5" customHeight="1">
      <c r="A2630" s="4" t="s">
        <v>4326</v>
      </c>
      <c r="B2630" s="8"/>
      <c r="C2630" s="6" t="s">
        <v>1643</v>
      </c>
      <c r="D2630" s="12">
        <f>AVERAGE(D2653,D2735)</f>
        <v>10.88998901</v>
      </c>
    </row>
    <row r="2631" ht="25.5" customHeight="1">
      <c r="A2631" s="4" t="s">
        <v>4327</v>
      </c>
      <c r="B2631" s="8"/>
      <c r="C2631" s="6" t="s">
        <v>4328</v>
      </c>
      <c r="D2631" s="12">
        <f>D2635+(((D2766-D2635)/13)*6)</f>
        <v>7.813076923</v>
      </c>
    </row>
    <row r="2632" ht="25.5" customHeight="1">
      <c r="A2632" s="4" t="s">
        <v>4329</v>
      </c>
      <c r="B2632" s="8"/>
      <c r="C2632" s="6" t="s">
        <v>4330</v>
      </c>
      <c r="D2632" s="12">
        <f>D2768</f>
        <v>15.19643333</v>
      </c>
    </row>
    <row r="2633" ht="25.5" customHeight="1">
      <c r="A2633" s="4" t="s">
        <v>4331</v>
      </c>
      <c r="B2633" s="8"/>
      <c r="C2633" s="6" t="s">
        <v>1343</v>
      </c>
      <c r="D2633" s="12">
        <f>AVERAGE(D2738,D2760,D2655,D2701)</f>
        <v>8.338457961</v>
      </c>
    </row>
    <row r="2634" ht="25.5" customHeight="1">
      <c r="A2634" s="4" t="s">
        <v>4332</v>
      </c>
      <c r="B2634" s="8"/>
      <c r="C2634" s="6" t="s">
        <v>3281</v>
      </c>
      <c r="D2634" s="12">
        <f>AVERAGE(D2740,D2550,D2657)</f>
        <v>2.418333333</v>
      </c>
    </row>
    <row r="2635" ht="25.5" customHeight="1">
      <c r="A2635" s="4" t="s">
        <v>4333</v>
      </c>
      <c r="B2635" s="8"/>
      <c r="C2635" s="6" t="s">
        <v>2758</v>
      </c>
      <c r="D2635" s="12">
        <f>AVERAGE(D2652,D2597)</f>
        <v>14.51</v>
      </c>
    </row>
    <row r="2636" ht="25.5" customHeight="1">
      <c r="A2636" s="4" t="s">
        <v>4334</v>
      </c>
      <c r="B2636" s="8"/>
      <c r="C2636" s="6" t="s">
        <v>4335</v>
      </c>
      <c r="D2636" s="12">
        <f>D2678</f>
        <v>15.98</v>
      </c>
    </row>
    <row r="2637" ht="25.5" customHeight="1">
      <c r="A2637" s="4" t="s">
        <v>4336</v>
      </c>
      <c r="B2637" s="8"/>
      <c r="C2637" s="6" t="s">
        <v>4337</v>
      </c>
      <c r="D2637" s="12">
        <f>AVERAGE(D2652,D2710)</f>
        <v>14.10777656</v>
      </c>
    </row>
    <row r="2638" ht="25.5" customHeight="1">
      <c r="A2638" s="4" t="s">
        <v>4338</v>
      </c>
      <c r="B2638" s="8"/>
      <c r="C2638" s="6" t="s">
        <v>1835</v>
      </c>
      <c r="D2638" s="12">
        <f>D2725+(((D158-D2725)/13)*2)</f>
        <v>22.76541943</v>
      </c>
    </row>
    <row r="2639" ht="25.5" customHeight="1">
      <c r="A2639" s="4" t="s">
        <v>4339</v>
      </c>
      <c r="B2639" s="8"/>
      <c r="C2639" s="6" t="s">
        <v>136</v>
      </c>
      <c r="D2639" s="12">
        <f>AVERAGE(D2671,D2680,D2762)</f>
        <v>4.836666667</v>
      </c>
    </row>
    <row r="2640" ht="25.5" customHeight="1">
      <c r="A2640" s="4" t="s">
        <v>4340</v>
      </c>
      <c r="B2640" s="8"/>
      <c r="C2640" s="6" t="s">
        <v>259</v>
      </c>
      <c r="D2640" s="12">
        <f>D2721+(((D2746-D2721)/13)*5)</f>
        <v>8.074424908</v>
      </c>
    </row>
    <row r="2641" ht="25.5" customHeight="1">
      <c r="A2641" s="4" t="s">
        <v>4341</v>
      </c>
      <c r="B2641" s="8"/>
      <c r="C2641" s="6" t="s">
        <v>4342</v>
      </c>
      <c r="D2641" s="7">
        <f>D221+(((D2541-D221)/21)*11)</f>
        <v>3.949084249</v>
      </c>
    </row>
    <row r="2642" ht="25.5" customHeight="1">
      <c r="A2642" s="4" t="s">
        <v>4343</v>
      </c>
      <c r="B2642" s="8"/>
      <c r="C2642" s="6" t="s">
        <v>4344</v>
      </c>
      <c r="D2642" s="12">
        <f>D2725+(((D158-D2725)/13)*1)</f>
        <v>24.49770972</v>
      </c>
    </row>
    <row r="2643" ht="25.5" customHeight="1">
      <c r="A2643" s="4" t="s">
        <v>4345</v>
      </c>
      <c r="B2643" s="8"/>
      <c r="C2643" s="6" t="s">
        <v>3973</v>
      </c>
      <c r="D2643" s="12">
        <f>D2559</f>
        <v>15.71881111</v>
      </c>
    </row>
    <row r="2644" ht="25.5" customHeight="1">
      <c r="A2644" s="4" t="s">
        <v>4346</v>
      </c>
      <c r="B2644" s="8"/>
      <c r="C2644" s="6" t="s">
        <v>4347</v>
      </c>
      <c r="D2644" s="12">
        <f>D2579</f>
        <v>4.155296703</v>
      </c>
    </row>
    <row r="2645" ht="25.5" customHeight="1">
      <c r="A2645" s="4" t="s">
        <v>4348</v>
      </c>
      <c r="B2645" s="8"/>
      <c r="C2645" s="6" t="s">
        <v>4349</v>
      </c>
      <c r="D2645" s="12">
        <f>AVERAGE(D2708,D2710)</f>
        <v>13.30332967</v>
      </c>
    </row>
    <row r="2646" ht="25.5" customHeight="1">
      <c r="A2646" s="4" t="s">
        <v>4350</v>
      </c>
      <c r="B2646" s="8"/>
      <c r="C2646" s="6" t="s">
        <v>138</v>
      </c>
      <c r="D2646" s="12">
        <f>AVERAGE(D2669,D2767)</f>
        <v>2.591071429</v>
      </c>
    </row>
    <row r="2647" ht="25.5" customHeight="1">
      <c r="A2647" s="4" t="s">
        <v>4351</v>
      </c>
      <c r="B2647" s="8"/>
      <c r="C2647" s="6" t="s">
        <v>912</v>
      </c>
      <c r="D2647" s="12">
        <f>D2707</f>
        <v>22.76470588</v>
      </c>
    </row>
    <row r="2648" ht="25.5" customHeight="1">
      <c r="A2648" s="4" t="s">
        <v>4352</v>
      </c>
      <c r="B2648" s="8"/>
      <c r="C2648" s="6" t="s">
        <v>914</v>
      </c>
      <c r="D2648" s="12">
        <f>AVERAGE(D2581,D2721)</f>
        <v>4.026413919</v>
      </c>
    </row>
    <row r="2649" ht="25.5" customHeight="1">
      <c r="A2649" s="4" t="s">
        <v>4353</v>
      </c>
      <c r="B2649" s="8"/>
      <c r="C2649" s="6" t="s">
        <v>140</v>
      </c>
      <c r="D2649" s="12">
        <f>D2627+(((D1152-D2627)/17)*2)</f>
        <v>15.17647059</v>
      </c>
    </row>
    <row r="2650" ht="25.5" customHeight="1">
      <c r="A2650" s="4" t="s">
        <v>4354</v>
      </c>
      <c r="B2650" s="8"/>
      <c r="C2650" s="6" t="s">
        <v>4355</v>
      </c>
      <c r="D2650" s="12">
        <f>D2766</f>
        <v>0</v>
      </c>
    </row>
    <row r="2651" ht="25.5" customHeight="1">
      <c r="A2651" s="4" t="s">
        <v>4356</v>
      </c>
      <c r="B2651" s="8"/>
      <c r="C2651" s="6" t="s">
        <v>4357</v>
      </c>
      <c r="D2651" s="12">
        <f>AVERAGE(D2675,D2731,D2704)</f>
        <v>4.464615385</v>
      </c>
    </row>
    <row r="2652" ht="25.5" customHeight="1">
      <c r="A2652" s="4" t="s">
        <v>4358</v>
      </c>
      <c r="B2652" s="8"/>
      <c r="C2652" s="6" t="s">
        <v>267</v>
      </c>
      <c r="D2652" s="12">
        <f>AVERAGE(D2746,D2597)</f>
        <v>14.51</v>
      </c>
    </row>
    <row r="2653" ht="25.5" customHeight="1">
      <c r="A2653" s="4" t="s">
        <v>4359</v>
      </c>
      <c r="B2653" s="8"/>
      <c r="C2653" s="6" t="s">
        <v>920</v>
      </c>
      <c r="D2653" s="12">
        <f>D2747</f>
        <v>10.48776557</v>
      </c>
    </row>
    <row r="2654" ht="25.5" customHeight="1">
      <c r="A2654" s="4" t="s">
        <v>4360</v>
      </c>
      <c r="B2654" s="8"/>
      <c r="C2654" s="6" t="s">
        <v>4361</v>
      </c>
      <c r="D2654" s="12">
        <f>AVERAGE(D2675,D2533,D2615)</f>
        <v>4.305164835</v>
      </c>
    </row>
    <row r="2655" ht="25.5" customHeight="1">
      <c r="A2655" s="4" t="s">
        <v>4362</v>
      </c>
      <c r="B2655" s="8"/>
      <c r="C2655" s="9" t="s">
        <v>4363</v>
      </c>
      <c r="D2655" s="12">
        <v>0.0</v>
      </c>
      <c r="E2655" s="10" t="s">
        <v>4364</v>
      </c>
    </row>
    <row r="2656" ht="25.5" customHeight="1">
      <c r="A2656" s="4" t="s">
        <v>4365</v>
      </c>
      <c r="B2656" s="8"/>
      <c r="C2656" s="6" t="s">
        <v>1360</v>
      </c>
      <c r="D2656" s="7">
        <f>D221+(((D2541-D221)/21)*20)</f>
        <v>4.413062271</v>
      </c>
    </row>
    <row r="2657" ht="25.5" customHeight="1">
      <c r="A2657" s="4" t="s">
        <v>4366</v>
      </c>
      <c r="B2657" s="8"/>
      <c r="C2657" s="6" t="s">
        <v>4367</v>
      </c>
      <c r="D2657" s="12">
        <f>D2663</f>
        <v>4.464615385</v>
      </c>
    </row>
    <row r="2658" ht="25.5" customHeight="1">
      <c r="A2658" s="4" t="s">
        <v>4368</v>
      </c>
      <c r="B2658" s="8"/>
      <c r="C2658" s="6" t="s">
        <v>641</v>
      </c>
      <c r="D2658" s="12">
        <f>AVERAGE(D2734,D2602)</f>
        <v>9.281095238</v>
      </c>
    </row>
    <row r="2659" ht="25.5" customHeight="1">
      <c r="A2659" s="4" t="s">
        <v>4369</v>
      </c>
      <c r="B2659" s="8"/>
      <c r="C2659" s="6" t="s">
        <v>4370</v>
      </c>
      <c r="D2659" s="7">
        <f>D221+(((D2541-D221)/21)*18)</f>
        <v>4.309956044</v>
      </c>
    </row>
    <row r="2660" ht="25.5" customHeight="1">
      <c r="A2660" s="4" t="s">
        <v>4371</v>
      </c>
      <c r="B2660" s="8"/>
      <c r="C2660" s="6" t="s">
        <v>4372</v>
      </c>
      <c r="D2660" s="7">
        <f>D221+(((D2541-D221)/21)*17)</f>
        <v>4.25840293</v>
      </c>
    </row>
    <row r="2661" ht="25.5" customHeight="1">
      <c r="A2661" s="4" t="s">
        <v>4373</v>
      </c>
      <c r="B2661" s="8"/>
      <c r="C2661" s="6" t="s">
        <v>4374</v>
      </c>
      <c r="D2661" s="12">
        <f>AVERAGE(D2589,D2743)</f>
        <v>13.03277106</v>
      </c>
    </row>
    <row r="2662" ht="25.5" customHeight="1">
      <c r="A2662" s="4" t="s">
        <v>4375</v>
      </c>
      <c r="B2662" s="8"/>
      <c r="C2662" s="6" t="s">
        <v>4376</v>
      </c>
      <c r="D2662" s="12">
        <f>AVERAGE(D2759,D2595,D2758)</f>
        <v>3.920720391</v>
      </c>
    </row>
    <row r="2663" ht="25.5" customHeight="1">
      <c r="A2663" s="4" t="s">
        <v>4377</v>
      </c>
      <c r="B2663" s="8"/>
      <c r="C2663" s="6" t="s">
        <v>4378</v>
      </c>
      <c r="D2663" s="12">
        <f>D2704</f>
        <v>4.464615385</v>
      </c>
    </row>
    <row r="2664" ht="25.5" customHeight="1">
      <c r="A2664" s="4" t="s">
        <v>4379</v>
      </c>
      <c r="B2664" s="8"/>
      <c r="C2664" s="6" t="s">
        <v>1362</v>
      </c>
      <c r="D2664" s="12">
        <f>AVERAGE(D2630,D2538,D2604)</f>
        <v>5.678663004</v>
      </c>
    </row>
    <row r="2665" ht="25.5" customHeight="1">
      <c r="A2665" s="4" t="s">
        <v>4380</v>
      </c>
      <c r="B2665" s="8"/>
      <c r="C2665" s="6" t="s">
        <v>1364</v>
      </c>
      <c r="D2665" s="12">
        <f>D2635+(((D2766-D2635)/13)*12)</f>
        <v>1.116153846</v>
      </c>
    </row>
    <row r="2666" ht="25.5" customHeight="1">
      <c r="A2666" s="4" t="s">
        <v>4381</v>
      </c>
      <c r="B2666" s="8"/>
      <c r="C2666" s="6" t="s">
        <v>143</v>
      </c>
      <c r="D2666" s="12">
        <f>AVERAGE(D2720,D2586,D2600)</f>
        <v>22.47670439</v>
      </c>
    </row>
    <row r="2667" ht="25.5" customHeight="1">
      <c r="A2667" s="4" t="s">
        <v>4382</v>
      </c>
      <c r="B2667" s="8"/>
      <c r="C2667" s="6" t="s">
        <v>4383</v>
      </c>
      <c r="D2667" s="12">
        <f>D2621</f>
        <v>15.98</v>
      </c>
    </row>
    <row r="2668" ht="25.5" customHeight="1">
      <c r="A2668" s="4" t="s">
        <v>4384</v>
      </c>
      <c r="B2668" s="8"/>
      <c r="C2668" s="6" t="s">
        <v>4385</v>
      </c>
      <c r="D2668" s="12">
        <f>AVERAGE(D2553,D2576)</f>
        <v>11.16153846</v>
      </c>
    </row>
    <row r="2669" ht="25.5" customHeight="1">
      <c r="A2669" s="4" t="s">
        <v>4386</v>
      </c>
      <c r="B2669" s="8"/>
      <c r="C2669" s="6" t="s">
        <v>4387</v>
      </c>
      <c r="D2669" s="12">
        <f>AVERAGE(D2615,D2601,D2571)</f>
        <v>3.189010989</v>
      </c>
    </row>
    <row r="2670" ht="25.5" customHeight="1">
      <c r="A2670" s="4" t="s">
        <v>4388</v>
      </c>
      <c r="B2670" s="8"/>
      <c r="C2670" s="6" t="s">
        <v>149</v>
      </c>
      <c r="D2670" s="12">
        <f>AVERAGE(D2772,D2601)</f>
        <v>6.617197802</v>
      </c>
    </row>
    <row r="2671" ht="25.5" customHeight="1">
      <c r="A2671" s="4" t="s">
        <v>4389</v>
      </c>
      <c r="B2671" s="8"/>
      <c r="C2671" s="6" t="s">
        <v>710</v>
      </c>
      <c r="D2671" s="12">
        <f>D2597+(((D2696-D2597)/6)*3)</f>
        <v>7.255</v>
      </c>
    </row>
    <row r="2672" ht="25.5" customHeight="1">
      <c r="A2672" s="4" t="s">
        <v>4390</v>
      </c>
      <c r="B2672" s="8"/>
      <c r="C2672" s="6" t="s">
        <v>714</v>
      </c>
      <c r="D2672" s="12">
        <f>AVERAGE(D2696,D2627,D2562,D2649)</f>
        <v>5.691176471</v>
      </c>
    </row>
    <row r="2673" ht="25.5" customHeight="1">
      <c r="A2673" s="4" t="s">
        <v>4391</v>
      </c>
      <c r="B2673" s="8"/>
      <c r="C2673" s="6" t="s">
        <v>151</v>
      </c>
      <c r="D2673" s="12">
        <f>AVERAGE(D2607,D2701,D2635,D2687,D2599)</f>
        <v>12.38930769</v>
      </c>
    </row>
    <row r="2674" ht="25.5" customHeight="1">
      <c r="A2674" s="4" t="s">
        <v>4392</v>
      </c>
      <c r="B2674" s="8"/>
      <c r="C2674" s="6" t="s">
        <v>4393</v>
      </c>
      <c r="D2674" s="12">
        <f>D2632</f>
        <v>15.19643333</v>
      </c>
    </row>
    <row r="2675" ht="25.5" customHeight="1">
      <c r="A2675" s="4" t="s">
        <v>4394</v>
      </c>
      <c r="B2675" s="8"/>
      <c r="C2675" s="6" t="s">
        <v>4395</v>
      </c>
      <c r="D2675" s="12">
        <f>D2541</f>
        <v>4.464615385</v>
      </c>
    </row>
    <row r="2676" ht="25.5" customHeight="1">
      <c r="A2676" s="4" t="s">
        <v>4396</v>
      </c>
      <c r="B2676" s="8"/>
      <c r="C2676" s="6" t="s">
        <v>4397</v>
      </c>
      <c r="D2676" s="12">
        <f>D2612</f>
        <v>4.361509158</v>
      </c>
    </row>
    <row r="2677" ht="25.5" customHeight="1">
      <c r="A2677" s="4" t="s">
        <v>4398</v>
      </c>
      <c r="B2677" s="8"/>
      <c r="C2677" s="6" t="s">
        <v>4399</v>
      </c>
      <c r="D2677" s="12">
        <f>AVERAGE(D2721,D2764)</f>
        <v>4.454413919</v>
      </c>
    </row>
    <row r="2678" ht="25.5" customHeight="1">
      <c r="A2678" s="4" t="s">
        <v>4400</v>
      </c>
      <c r="B2678" s="8"/>
      <c r="C2678" s="6" t="s">
        <v>4401</v>
      </c>
      <c r="D2678" s="12">
        <f>D2717</f>
        <v>15.98</v>
      </c>
    </row>
    <row r="2679" ht="25.5" customHeight="1">
      <c r="A2679" s="4" t="s">
        <v>4402</v>
      </c>
      <c r="B2679" s="8"/>
      <c r="C2679" s="6" t="s">
        <v>4403</v>
      </c>
      <c r="D2679" s="12">
        <f>D2678</f>
        <v>15.98</v>
      </c>
    </row>
    <row r="2680" ht="25.5" customHeight="1">
      <c r="A2680" s="4" t="s">
        <v>4404</v>
      </c>
      <c r="B2680" s="8"/>
      <c r="C2680" s="6" t="s">
        <v>157</v>
      </c>
      <c r="D2680" s="12">
        <f>D2597+(((D2696-D2597)/6)*4)</f>
        <v>4.836666667</v>
      </c>
    </row>
    <row r="2681" ht="25.5" customHeight="1">
      <c r="A2681" s="4" t="s">
        <v>4405</v>
      </c>
      <c r="B2681" s="8"/>
      <c r="C2681" s="6" t="s">
        <v>161</v>
      </c>
      <c r="D2681" s="12">
        <f>AVERAGE(D2628,D2698,D1125)</f>
        <v>27.11834804</v>
      </c>
    </row>
    <row r="2682" ht="25.5" customHeight="1">
      <c r="A2682" s="4" t="s">
        <v>4406</v>
      </c>
      <c r="B2682" s="8"/>
      <c r="C2682" s="6" t="s">
        <v>720</v>
      </c>
      <c r="D2682" s="12">
        <f>D2721+(((D2746-D2721)/13)*4)</f>
        <v>7.269978022</v>
      </c>
    </row>
    <row r="2683" ht="25.5" customHeight="1">
      <c r="A2683" s="4" t="s">
        <v>4407</v>
      </c>
      <c r="B2683" s="8"/>
      <c r="C2683" s="6" t="s">
        <v>1378</v>
      </c>
      <c r="D2683" s="12">
        <f>AVERAGE(D2660,D2612)</f>
        <v>4.309956044</v>
      </c>
    </row>
    <row r="2684" ht="25.5" customHeight="1">
      <c r="A2684" s="4" t="s">
        <v>4408</v>
      </c>
      <c r="B2684" s="8"/>
      <c r="C2684" s="6" t="s">
        <v>4409</v>
      </c>
      <c r="D2684" s="12">
        <f>AVERAGE(D2767,D2546)</f>
        <v>0.9965659341</v>
      </c>
    </row>
    <row r="2685" ht="25.5" customHeight="1">
      <c r="A2685" s="4" t="s">
        <v>4410</v>
      </c>
      <c r="B2685" s="8"/>
      <c r="C2685" s="6" t="s">
        <v>4411</v>
      </c>
      <c r="D2685" s="12">
        <f>AVERAGE(D2780,D2590)</f>
        <v>1.674230769</v>
      </c>
    </row>
    <row r="2686" ht="25.5" customHeight="1">
      <c r="A2686" s="4" t="s">
        <v>4412</v>
      </c>
      <c r="B2686" s="8"/>
      <c r="C2686" s="6" t="s">
        <v>4413</v>
      </c>
      <c r="D2686" s="12">
        <f>AVERAGE(D2568,D2551,D2690,D2683)</f>
        <v>7.788195971</v>
      </c>
    </row>
    <row r="2687" ht="25.5" customHeight="1">
      <c r="A2687" s="4" t="s">
        <v>4414</v>
      </c>
      <c r="B2687" s="8"/>
      <c r="C2687" s="6" t="s">
        <v>4415</v>
      </c>
      <c r="D2687" s="12">
        <f>D2635+(((D2766-D2635)/13)*1)</f>
        <v>13.39384615</v>
      </c>
    </row>
    <row r="2688" ht="25.5" customHeight="1">
      <c r="A2688" s="4" t="s">
        <v>4416</v>
      </c>
      <c r="B2688" s="8"/>
      <c r="C2688" s="6" t="s">
        <v>4417</v>
      </c>
      <c r="D2688" s="12">
        <f>AVERAGE(D2665,D2533,D2675)</f>
        <v>3.348461538</v>
      </c>
    </row>
    <row r="2689" ht="25.5" customHeight="1">
      <c r="A2689" s="4" t="s">
        <v>4418</v>
      </c>
      <c r="B2689" s="8"/>
      <c r="C2689" s="6" t="s">
        <v>3512</v>
      </c>
      <c r="D2689" s="12">
        <f>D2635+(((D2766-D2635)/13)*10)</f>
        <v>3.348461538</v>
      </c>
    </row>
    <row r="2690" ht="25.5" customHeight="1">
      <c r="A2690" s="4" t="s">
        <v>4419</v>
      </c>
      <c r="B2690" s="8"/>
      <c r="C2690" s="6" t="s">
        <v>1386</v>
      </c>
      <c r="D2690" s="12">
        <f>D2660</f>
        <v>4.25840293</v>
      </c>
    </row>
    <row r="2691" ht="25.5" customHeight="1">
      <c r="A2691" s="4" t="s">
        <v>4420</v>
      </c>
      <c r="B2691" s="8"/>
      <c r="C2691" s="6" t="s">
        <v>2247</v>
      </c>
      <c r="D2691" s="12">
        <f>D2721+(((D2746-D2721)/13)*3)</f>
        <v>6.465531136</v>
      </c>
    </row>
    <row r="2692" ht="25.5" customHeight="1">
      <c r="A2692" s="4" t="s">
        <v>4421</v>
      </c>
      <c r="B2692" s="8"/>
      <c r="C2692" s="6" t="s">
        <v>4422</v>
      </c>
      <c r="D2692" s="12">
        <f>AVERAGE(D2599,D2540,D2772)</f>
        <v>11.16153846</v>
      </c>
    </row>
    <row r="2693" ht="25.5" customHeight="1">
      <c r="A2693" s="4" t="s">
        <v>4423</v>
      </c>
      <c r="B2693" s="8"/>
      <c r="C2693" s="6" t="s">
        <v>1154</v>
      </c>
      <c r="D2693" s="12">
        <f>AVERAGE(D2551,D2573)</f>
        <v>11.89554762</v>
      </c>
    </row>
    <row r="2694" ht="25.5" customHeight="1">
      <c r="A2694" s="4" t="s">
        <v>4424</v>
      </c>
      <c r="B2694" s="8"/>
      <c r="C2694" s="6" t="s">
        <v>945</v>
      </c>
      <c r="D2694" s="12">
        <f>D2721+(((D2746-D2721)/13)*6)</f>
        <v>8.878871795</v>
      </c>
    </row>
    <row r="2695" ht="25.5" customHeight="1">
      <c r="A2695" s="4" t="s">
        <v>4425</v>
      </c>
      <c r="B2695" s="8"/>
      <c r="C2695" s="6" t="s">
        <v>4426</v>
      </c>
      <c r="D2695" s="12">
        <f>AVERAGE(D2575,D2177)</f>
        <v>15.77495</v>
      </c>
    </row>
    <row r="2696" ht="25.5" customHeight="1">
      <c r="A2696" s="4" t="s">
        <v>4427</v>
      </c>
      <c r="B2696" s="8"/>
      <c r="C2696" s="9" t="s">
        <v>169</v>
      </c>
      <c r="D2696" s="12">
        <v>0.0</v>
      </c>
      <c r="E2696" s="10" t="s">
        <v>4428</v>
      </c>
    </row>
    <row r="2697" ht="25.5" customHeight="1">
      <c r="A2697" s="4" t="s">
        <v>4429</v>
      </c>
      <c r="B2697" s="8"/>
      <c r="C2697" s="6" t="s">
        <v>2919</v>
      </c>
      <c r="D2697" s="12">
        <f>D2714</f>
        <v>15.98</v>
      </c>
    </row>
    <row r="2698" ht="25.5" customHeight="1">
      <c r="A2698" s="4" t="s">
        <v>4430</v>
      </c>
      <c r="B2698" s="8"/>
      <c r="C2698" s="6" t="s">
        <v>1676</v>
      </c>
      <c r="D2698" s="12">
        <f>D2725+(((D158-D2725)/13)*5)</f>
        <v>17.56854858</v>
      </c>
    </row>
    <row r="2699" ht="25.5" customHeight="1">
      <c r="A2699" s="4" t="s">
        <v>4431</v>
      </c>
      <c r="B2699" s="8"/>
      <c r="C2699" s="6" t="s">
        <v>4432</v>
      </c>
      <c r="D2699" s="12">
        <f>AVERAGE(D2549,D2603)</f>
        <v>15.98</v>
      </c>
    </row>
    <row r="2700" ht="25.5" customHeight="1">
      <c r="A2700" s="4" t="s">
        <v>4433</v>
      </c>
      <c r="B2700" s="8"/>
      <c r="C2700" s="6" t="s">
        <v>4434</v>
      </c>
      <c r="D2700" s="12">
        <f>AVERAGE(D2563,D2727,D2736)</f>
        <v>25.64779771</v>
      </c>
    </row>
    <row r="2701" ht="25.5" customHeight="1">
      <c r="A2701" s="4" t="s">
        <v>4435</v>
      </c>
      <c r="B2701" s="8"/>
      <c r="C2701" s="6" t="s">
        <v>4436</v>
      </c>
      <c r="D2701" s="12">
        <f>D2597+(((D2696-D2597)/6)*1)</f>
        <v>12.09166667</v>
      </c>
    </row>
    <row r="2702" ht="25.5" customHeight="1">
      <c r="A2702" s="4" t="s">
        <v>4437</v>
      </c>
      <c r="B2702" s="8"/>
      <c r="C2702" s="6" t="s">
        <v>291</v>
      </c>
      <c r="D2702" s="12">
        <f>AVERAGE(D2707,D1126)</f>
        <v>26.55882353</v>
      </c>
    </row>
    <row r="2703" ht="25.5" customHeight="1">
      <c r="A2703" s="4" t="s">
        <v>4438</v>
      </c>
      <c r="B2703" s="8"/>
      <c r="C2703" s="6" t="s">
        <v>4439</v>
      </c>
      <c r="D2703" s="12">
        <f>D2721+(((D2746-D2721)/13)*7)</f>
        <v>9.683318681</v>
      </c>
    </row>
    <row r="2704" ht="25.5" customHeight="1">
      <c r="A2704" s="4" t="s">
        <v>4440</v>
      </c>
      <c r="B2704" s="8"/>
      <c r="C2704" s="6" t="s">
        <v>4441</v>
      </c>
      <c r="D2704" s="12">
        <f>D2541</f>
        <v>4.464615385</v>
      </c>
    </row>
    <row r="2705" ht="25.5" customHeight="1">
      <c r="A2705" s="4" t="s">
        <v>4442</v>
      </c>
      <c r="B2705" s="8"/>
      <c r="C2705" s="6" t="s">
        <v>4443</v>
      </c>
      <c r="D2705" s="12">
        <f>D2723</f>
        <v>15.45762222</v>
      </c>
    </row>
    <row r="2706" ht="25.5" customHeight="1">
      <c r="A2706" s="4" t="s">
        <v>4444</v>
      </c>
      <c r="B2706" s="8"/>
      <c r="C2706" s="6" t="s">
        <v>1891</v>
      </c>
      <c r="D2706" s="7">
        <f>D224+(((D2714-D224)/13)*12)</f>
        <v>15.14038462</v>
      </c>
    </row>
    <row r="2707" ht="25.5" customHeight="1">
      <c r="A2707" s="4" t="s">
        <v>4445</v>
      </c>
      <c r="B2707" s="8"/>
      <c r="C2707" s="6" t="s">
        <v>430</v>
      </c>
      <c r="D2707" s="12">
        <f>D2627+(((D1152-D2627)/17)*3)</f>
        <v>22.76470588</v>
      </c>
    </row>
    <row r="2708" ht="25.5" customHeight="1">
      <c r="A2708" s="4" t="s">
        <v>4446</v>
      </c>
      <c r="B2708" s="8"/>
      <c r="C2708" s="6" t="s">
        <v>4447</v>
      </c>
      <c r="D2708" s="12">
        <f>D2721+(((D2746-D2721)/13)*11)</f>
        <v>12.90110623</v>
      </c>
    </row>
    <row r="2709" ht="25.5" customHeight="1">
      <c r="A2709" s="4" t="s">
        <v>4448</v>
      </c>
      <c r="B2709" s="8"/>
      <c r="C2709" s="6" t="s">
        <v>2679</v>
      </c>
      <c r="D2709" s="12">
        <f>AVERAGE(D2628,D1125,D1132)</f>
        <v>33.9164175</v>
      </c>
    </row>
    <row r="2710" ht="25.5" customHeight="1">
      <c r="A2710" s="4" t="s">
        <v>4449</v>
      </c>
      <c r="B2710" s="8"/>
      <c r="C2710" s="6" t="s">
        <v>4450</v>
      </c>
      <c r="D2710" s="12">
        <f>D2721+(((D2746-D2721)/13)*12)</f>
        <v>13.70555311</v>
      </c>
    </row>
    <row r="2711" ht="25.5" customHeight="1">
      <c r="A2711" s="4" t="s">
        <v>4451</v>
      </c>
      <c r="B2711" s="8"/>
      <c r="C2711" s="6" t="s">
        <v>4452</v>
      </c>
      <c r="D2711" s="12">
        <f>AVERAGE(D2561,D2585,D1940)</f>
        <v>15.14038462</v>
      </c>
    </row>
    <row r="2712" ht="25.5" customHeight="1">
      <c r="A2712" s="4" t="s">
        <v>4453</v>
      </c>
      <c r="B2712" s="8"/>
      <c r="C2712" s="6" t="s">
        <v>4454</v>
      </c>
      <c r="D2712" s="7">
        <f>D221+(((D2541-D221)/21)*14)</f>
        <v>4.10374359</v>
      </c>
    </row>
    <row r="2713" ht="25.5" customHeight="1">
      <c r="A2713" s="4" t="s">
        <v>4455</v>
      </c>
      <c r="B2713" s="8"/>
      <c r="C2713" s="6" t="s">
        <v>301</v>
      </c>
      <c r="D2713" s="12">
        <f>AVERAGE(D2754,D2730,D2672,D2626)</f>
        <v>6.123786765</v>
      </c>
    </row>
    <row r="2714" ht="25.5" customHeight="1">
      <c r="A2714" s="4" t="s">
        <v>4456</v>
      </c>
      <c r="B2714" s="8"/>
      <c r="C2714" s="9" t="s">
        <v>3818</v>
      </c>
      <c r="D2714" s="12">
        <v>15.98</v>
      </c>
      <c r="E2714" s="10" t="s">
        <v>4457</v>
      </c>
    </row>
    <row r="2715" ht="25.5" customHeight="1">
      <c r="A2715" s="4" t="s">
        <v>4458</v>
      </c>
      <c r="B2715" s="8"/>
      <c r="C2715" s="6" t="s">
        <v>4459</v>
      </c>
      <c r="D2715" s="12">
        <f>AVERAGE(D2648,D2548)</f>
        <v>4.065078755</v>
      </c>
    </row>
    <row r="2716" ht="25.5" customHeight="1">
      <c r="A2716" s="4" t="s">
        <v>4460</v>
      </c>
      <c r="B2716" s="8"/>
      <c r="C2716" s="6" t="s">
        <v>4461</v>
      </c>
      <c r="D2716" s="12">
        <f>AVERAGE(D2760,D2642,D2638)</f>
        <v>18.11683918</v>
      </c>
    </row>
    <row r="2717" ht="25.5" customHeight="1">
      <c r="A2717" s="4" t="s">
        <v>4462</v>
      </c>
      <c r="B2717" s="8"/>
      <c r="C2717" s="9" t="s">
        <v>4463</v>
      </c>
      <c r="D2717" s="12">
        <f>D2714</f>
        <v>15.98</v>
      </c>
      <c r="E2717" s="13" t="s">
        <v>4464</v>
      </c>
    </row>
    <row r="2718" ht="25.5" customHeight="1">
      <c r="A2718" s="4" t="s">
        <v>4465</v>
      </c>
      <c r="B2718" s="8"/>
      <c r="C2718" s="6" t="s">
        <v>4466</v>
      </c>
      <c r="D2718" s="12">
        <f>D2579</f>
        <v>4.155296703</v>
      </c>
    </row>
    <row r="2719" ht="25.5" customHeight="1">
      <c r="A2719" s="4" t="s">
        <v>4467</v>
      </c>
      <c r="B2719" s="8"/>
      <c r="C2719" s="6" t="s">
        <v>4468</v>
      </c>
      <c r="D2719" s="12">
        <f>D2659</f>
        <v>4.309956044</v>
      </c>
    </row>
    <row r="2720" ht="25.5" customHeight="1">
      <c r="A2720" s="4" t="s">
        <v>4469</v>
      </c>
      <c r="B2720" s="8"/>
      <c r="C2720" s="6" t="s">
        <v>2002</v>
      </c>
      <c r="D2720" s="12">
        <f>AVERAGE(D2606,D2751,D2698,D2545)</f>
        <v>18.43469372</v>
      </c>
    </row>
    <row r="2721" ht="25.5" customHeight="1">
      <c r="A2721" s="4" t="s">
        <v>4470</v>
      </c>
      <c r="B2721" s="8"/>
      <c r="C2721" s="6" t="s">
        <v>4471</v>
      </c>
      <c r="D2721" s="7">
        <f>D221+(((D2541-D221)/21)*13)</f>
        <v>4.052190476</v>
      </c>
    </row>
    <row r="2722" ht="25.5" customHeight="1">
      <c r="A2722" s="4" t="s">
        <v>4472</v>
      </c>
      <c r="B2722" s="8"/>
      <c r="C2722" s="6" t="s">
        <v>4473</v>
      </c>
      <c r="D2722" s="12">
        <f>D2731</f>
        <v>4.464615385</v>
      </c>
    </row>
    <row r="2723" ht="25.5" customHeight="1">
      <c r="A2723" s="4" t="s">
        <v>4474</v>
      </c>
      <c r="B2723" s="8"/>
      <c r="C2723" s="6" t="s">
        <v>4005</v>
      </c>
      <c r="D2723" s="12">
        <f>D2616</f>
        <v>15.45762222</v>
      </c>
    </row>
    <row r="2724" ht="25.5" customHeight="1">
      <c r="A2724" s="4" t="s">
        <v>4475</v>
      </c>
      <c r="B2724" s="8"/>
      <c r="C2724" s="6" t="s">
        <v>1903</v>
      </c>
      <c r="D2724" s="12">
        <f>AVERAGE(D2671,D2599)</f>
        <v>9.766346154</v>
      </c>
    </row>
    <row r="2725" ht="25.5" customHeight="1">
      <c r="A2725" s="4" t="s">
        <v>4476</v>
      </c>
      <c r="B2725" s="8"/>
      <c r="C2725" s="9" t="s">
        <v>4477</v>
      </c>
      <c r="D2725" s="12">
        <f>D2569</f>
        <v>26.23</v>
      </c>
      <c r="E2725" s="13" t="s">
        <v>4478</v>
      </c>
    </row>
    <row r="2726" ht="25.5" customHeight="1">
      <c r="A2726" s="4" t="s">
        <v>4479</v>
      </c>
      <c r="B2726" s="8"/>
      <c r="C2726" s="6" t="s">
        <v>4480</v>
      </c>
      <c r="D2726" s="12">
        <f>AVERAGE(D2747,D2703)</f>
        <v>10.08554212</v>
      </c>
    </row>
    <row r="2727" ht="25.5" customHeight="1">
      <c r="A2727" s="4" t="s">
        <v>4481</v>
      </c>
      <c r="B2727" s="8"/>
      <c r="C2727" s="6" t="s">
        <v>4482</v>
      </c>
      <c r="D2727" s="12">
        <f>AVERAGE(D2628,D2618)</f>
        <v>24.80585938</v>
      </c>
    </row>
    <row r="2728" ht="25.5" customHeight="1">
      <c r="A2728" s="4" t="s">
        <v>4483</v>
      </c>
      <c r="B2728" s="8"/>
      <c r="C2728" s="6" t="s">
        <v>2005</v>
      </c>
      <c r="D2728" s="12">
        <f>AVERAGE(D2647,D2702,D1159,D2736)</f>
        <v>31.62798772</v>
      </c>
    </row>
    <row r="2729" ht="25.5" customHeight="1">
      <c r="A2729" s="4" t="s">
        <v>4484</v>
      </c>
      <c r="B2729" s="8"/>
      <c r="C2729" s="6" t="s">
        <v>4485</v>
      </c>
      <c r="D2729" s="12">
        <f>AVERAGE(D2647,D2736)</f>
        <v>30.36373143</v>
      </c>
    </row>
    <row r="2730" ht="25.5" customHeight="1">
      <c r="A2730" s="4" t="s">
        <v>4486</v>
      </c>
      <c r="B2730" s="8"/>
      <c r="C2730" s="6" t="s">
        <v>4487</v>
      </c>
      <c r="D2730" s="12">
        <f>AVERAGE(D2762,D2696)</f>
        <v>1.209166667</v>
      </c>
    </row>
    <row r="2731" ht="25.5" customHeight="1">
      <c r="A2731" s="4" t="s">
        <v>4488</v>
      </c>
      <c r="B2731" s="8"/>
      <c r="C2731" s="6" t="s">
        <v>4489</v>
      </c>
      <c r="D2731" s="12">
        <f>D2541</f>
        <v>4.464615385</v>
      </c>
    </row>
    <row r="2732" ht="25.5" customHeight="1">
      <c r="A2732" s="4" t="s">
        <v>4490</v>
      </c>
      <c r="B2732" s="8"/>
      <c r="C2732" s="6" t="s">
        <v>4491</v>
      </c>
      <c r="D2732" s="12">
        <f>AVERAGE(D2551,D2683,D2676,D2553)</f>
        <v>7.602821429</v>
      </c>
    </row>
    <row r="2733" ht="25.5" customHeight="1">
      <c r="A2733" s="4" t="s">
        <v>4492</v>
      </c>
      <c r="B2733" s="8"/>
      <c r="C2733" s="6" t="s">
        <v>4493</v>
      </c>
      <c r="D2733" s="12">
        <f>AVERAGE(D2579,D2744)</f>
        <v>4.18107326</v>
      </c>
    </row>
    <row r="2734" ht="25.5" customHeight="1">
      <c r="A2734" s="4" t="s">
        <v>4494</v>
      </c>
      <c r="B2734" s="8"/>
      <c r="C2734" s="6" t="s">
        <v>4495</v>
      </c>
      <c r="D2734" s="12">
        <f>D2694</f>
        <v>8.878871795</v>
      </c>
    </row>
    <row r="2735" ht="25.5" customHeight="1">
      <c r="A2735" s="4" t="s">
        <v>4496</v>
      </c>
      <c r="B2735" s="8"/>
      <c r="C2735" s="6" t="s">
        <v>4497</v>
      </c>
      <c r="D2735" s="12">
        <f>D2556</f>
        <v>11.29221245</v>
      </c>
    </row>
    <row r="2736" ht="25.5" customHeight="1">
      <c r="A2736" s="4" t="s">
        <v>4498</v>
      </c>
      <c r="B2736" s="8"/>
      <c r="C2736" s="6" t="s">
        <v>183</v>
      </c>
      <c r="D2736" s="12">
        <f>D1132</f>
        <v>37.96275698</v>
      </c>
    </row>
    <row r="2737" ht="25.5" customHeight="1">
      <c r="A2737" s="4" t="s">
        <v>4499</v>
      </c>
      <c r="B2737" s="8"/>
      <c r="C2737" s="6" t="s">
        <v>1725</v>
      </c>
      <c r="D2737" s="12">
        <f>D2697</f>
        <v>15.98</v>
      </c>
    </row>
    <row r="2738" ht="25.5" customHeight="1">
      <c r="A2738" s="4" t="s">
        <v>4500</v>
      </c>
      <c r="B2738" s="8"/>
      <c r="C2738" s="6" t="s">
        <v>1727</v>
      </c>
      <c r="D2738" s="12">
        <f>D2655+(((D1544-D2655)/14)*2)</f>
        <v>14.17477679</v>
      </c>
    </row>
    <row r="2739" ht="25.5" customHeight="1">
      <c r="A2739" s="4" t="s">
        <v>4501</v>
      </c>
      <c r="B2739" s="8"/>
      <c r="C2739" s="6" t="s">
        <v>4502</v>
      </c>
      <c r="D2739" s="12">
        <f>D2652</f>
        <v>14.51</v>
      </c>
    </row>
    <row r="2740" ht="25.5" customHeight="1">
      <c r="A2740" s="4" t="s">
        <v>4503</v>
      </c>
      <c r="B2740" s="8"/>
      <c r="C2740" s="6" t="s">
        <v>4504</v>
      </c>
      <c r="D2740" s="12">
        <f>AVERAGE(D2779,D2650)</f>
        <v>0</v>
      </c>
    </row>
    <row r="2741" ht="25.5" customHeight="1">
      <c r="A2741" s="4" t="s">
        <v>4505</v>
      </c>
      <c r="B2741" s="8"/>
      <c r="C2741" s="6" t="s">
        <v>986</v>
      </c>
      <c r="D2741" s="12">
        <f>AVERAGE(D2593,D2708)</f>
        <v>12.49888278</v>
      </c>
    </row>
    <row r="2742" ht="25.5" customHeight="1">
      <c r="A2742" s="4" t="s">
        <v>4506</v>
      </c>
      <c r="B2742" s="8"/>
      <c r="C2742" s="6" t="s">
        <v>4507</v>
      </c>
      <c r="D2742" s="12">
        <f>AVERAGE(D2694,D2640)</f>
        <v>8.476648352</v>
      </c>
    </row>
    <row r="2743" ht="25.5" customHeight="1">
      <c r="A2743" s="4" t="s">
        <v>4508</v>
      </c>
      <c r="B2743" s="8"/>
      <c r="C2743" s="6" t="s">
        <v>4509</v>
      </c>
      <c r="D2743" s="12">
        <f>AVERAGE(D2602,D2653)</f>
        <v>10.08554212</v>
      </c>
    </row>
    <row r="2744" ht="25.5" customHeight="1">
      <c r="A2744" s="4" t="s">
        <v>4510</v>
      </c>
      <c r="B2744" s="8"/>
      <c r="C2744" s="6" t="s">
        <v>4511</v>
      </c>
      <c r="D2744" s="7">
        <f>D221+(((D2541-D221)/21)*16)</f>
        <v>4.206849817</v>
      </c>
    </row>
    <row r="2745" ht="25.5" customHeight="1">
      <c r="A2745" s="4" t="s">
        <v>4512</v>
      </c>
      <c r="B2745" s="8"/>
      <c r="C2745" s="6" t="s">
        <v>4513</v>
      </c>
      <c r="D2745" s="12">
        <f>D2717</f>
        <v>15.98</v>
      </c>
    </row>
    <row r="2746" ht="25.5" customHeight="1">
      <c r="A2746" s="4" t="s">
        <v>4514</v>
      </c>
      <c r="B2746" s="8"/>
      <c r="C2746" s="9" t="s">
        <v>4515</v>
      </c>
      <c r="D2746" s="12">
        <f>D2597</f>
        <v>14.51</v>
      </c>
      <c r="E2746" s="13" t="s">
        <v>4275</v>
      </c>
    </row>
    <row r="2747" ht="25.5" customHeight="1">
      <c r="A2747" s="4" t="s">
        <v>4516</v>
      </c>
      <c r="B2747" s="8"/>
      <c r="C2747" s="6" t="s">
        <v>759</v>
      </c>
      <c r="D2747" s="12">
        <f>D2721+(((D2746-D2721)/13)*8)</f>
        <v>10.48776557</v>
      </c>
    </row>
    <row r="2748" ht="25.5" customHeight="1">
      <c r="A2748" s="4" t="s">
        <v>4517</v>
      </c>
      <c r="B2748" s="8"/>
      <c r="C2748" s="6" t="s">
        <v>1000</v>
      </c>
      <c r="D2748" s="12">
        <f>AVERAGE(D2712,D2579)</f>
        <v>4.129520147</v>
      </c>
    </row>
    <row r="2749" ht="25.5" customHeight="1">
      <c r="A2749" s="4" t="s">
        <v>4518</v>
      </c>
      <c r="B2749" s="8"/>
      <c r="C2749" s="6" t="s">
        <v>4519</v>
      </c>
      <c r="D2749" s="12">
        <f>AVERAGE(D2584,D2679,D2636)</f>
        <v>13.07665934</v>
      </c>
    </row>
    <row r="2750" ht="25.5" customHeight="1">
      <c r="A2750" s="4" t="s">
        <v>4520</v>
      </c>
      <c r="B2750" s="8"/>
      <c r="C2750" s="6" t="s">
        <v>4521</v>
      </c>
      <c r="D2750" s="12">
        <f>AVERAGE(D2735,D2741,D2778)</f>
        <v>12.23073382</v>
      </c>
    </row>
    <row r="2751" ht="25.5" customHeight="1">
      <c r="A2751" s="4" t="s">
        <v>4522</v>
      </c>
      <c r="B2751" s="8"/>
      <c r="C2751" s="6" t="s">
        <v>4523</v>
      </c>
      <c r="D2751" s="12">
        <f>D2725+(((D158-D2725)/13)*4)</f>
        <v>19.30083887</v>
      </c>
    </row>
    <row r="2752" ht="25.5" customHeight="1">
      <c r="A2752" s="4" t="s">
        <v>4524</v>
      </c>
      <c r="B2752" s="8"/>
      <c r="C2752" s="6" t="s">
        <v>4525</v>
      </c>
      <c r="D2752" s="12">
        <f>AVERAGE(D2726,D2567,D2742,D2644,D2733)</f>
        <v>7.235931136</v>
      </c>
    </row>
    <row r="2753" ht="25.5" customHeight="1">
      <c r="A2753" s="4" t="s">
        <v>4526</v>
      </c>
      <c r="B2753" s="8"/>
      <c r="C2753" s="6" t="s">
        <v>4527</v>
      </c>
      <c r="D2753" s="12">
        <f>D2635+(((D2766-D2635)/13)*5)</f>
        <v>8.929230769</v>
      </c>
    </row>
    <row r="2754" ht="25.5" customHeight="1">
      <c r="A2754" s="4" t="s">
        <v>4528</v>
      </c>
      <c r="B2754" s="8"/>
      <c r="C2754" s="6" t="s">
        <v>485</v>
      </c>
      <c r="D2754" s="12">
        <f>D2762</f>
        <v>2.418333333</v>
      </c>
    </row>
    <row r="2755" ht="25.5" customHeight="1">
      <c r="A2755" s="4" t="s">
        <v>4529</v>
      </c>
      <c r="B2755" s="8"/>
      <c r="C2755" s="6" t="s">
        <v>4530</v>
      </c>
      <c r="D2755" s="12">
        <f>AVERAGE(D2626,D2647)</f>
        <v>18.97058824</v>
      </c>
    </row>
    <row r="2756" ht="25.5" customHeight="1">
      <c r="A2756" s="4" t="s">
        <v>4531</v>
      </c>
      <c r="B2756" s="8"/>
      <c r="C2756" s="6" t="s">
        <v>4532</v>
      </c>
      <c r="D2756" s="12">
        <f>AVERAGE(D2738,D2618,D2628)</f>
        <v>21.26216518</v>
      </c>
    </row>
    <row r="2757" ht="25.5" customHeight="1">
      <c r="A2757" s="4" t="s">
        <v>4533</v>
      </c>
      <c r="B2757" s="8"/>
      <c r="C2757" s="6" t="s">
        <v>4534</v>
      </c>
      <c r="D2757" s="12">
        <f>AVERAGE(D2691,D2579)</f>
        <v>5.310413919</v>
      </c>
    </row>
    <row r="2758" ht="25.5" customHeight="1">
      <c r="A2758" s="4" t="s">
        <v>4535</v>
      </c>
      <c r="B2758" s="8"/>
      <c r="C2758" s="6" t="s">
        <v>4536</v>
      </c>
      <c r="D2758" s="12">
        <f>D2689</f>
        <v>3.348461538</v>
      </c>
    </row>
    <row r="2759" ht="25.5" customHeight="1">
      <c r="A2759" s="4" t="s">
        <v>4537</v>
      </c>
      <c r="B2759" s="8"/>
      <c r="C2759" s="6" t="s">
        <v>4538</v>
      </c>
      <c r="D2759" s="12">
        <f>AVERAGE(D2579,D2744)</f>
        <v>4.18107326</v>
      </c>
    </row>
    <row r="2760" ht="25.5" customHeight="1">
      <c r="A2760" s="4" t="s">
        <v>4539</v>
      </c>
      <c r="B2760" s="8"/>
      <c r="C2760" s="6" t="s">
        <v>4540</v>
      </c>
      <c r="D2760" s="12">
        <f>D2655+(((D1544-D2655)/14)*1)</f>
        <v>7.087388393</v>
      </c>
    </row>
    <row r="2761" ht="25.5" customHeight="1">
      <c r="A2761" s="4" t="s">
        <v>4541</v>
      </c>
      <c r="B2761" s="8"/>
      <c r="C2761" s="6" t="s">
        <v>4542</v>
      </c>
      <c r="D2761" s="12">
        <f>AVERAGE(D2722,D2588)</f>
        <v>4.22543956</v>
      </c>
    </row>
    <row r="2762" ht="25.5" customHeight="1">
      <c r="A2762" s="4" t="s">
        <v>4543</v>
      </c>
      <c r="B2762" s="8"/>
      <c r="C2762" s="6" t="s">
        <v>195</v>
      </c>
      <c r="D2762" s="12">
        <f>D2597+(((D2696-D2597)/6)*5)</f>
        <v>2.418333333</v>
      </c>
    </row>
    <row r="2763" ht="25.5" customHeight="1">
      <c r="A2763" s="4" t="s">
        <v>4544</v>
      </c>
      <c r="B2763" s="8"/>
      <c r="C2763" s="6" t="s">
        <v>4545</v>
      </c>
      <c r="D2763" s="12">
        <f>D2620+(((D2627-D2620)/7)*6)</f>
        <v>0.7972527473</v>
      </c>
    </row>
    <row r="2764" ht="25.5" customHeight="1">
      <c r="A2764" s="4" t="s">
        <v>4546</v>
      </c>
      <c r="B2764" s="8"/>
      <c r="C2764" s="6" t="s">
        <v>3064</v>
      </c>
      <c r="D2764" s="12">
        <f>D2721+(((D2746-D2721)/13)*1)</f>
        <v>4.856637363</v>
      </c>
    </row>
    <row r="2765" ht="25.5" customHeight="1">
      <c r="A2765" s="4" t="s">
        <v>4547</v>
      </c>
      <c r="B2765" s="8"/>
      <c r="C2765" s="6" t="s">
        <v>197</v>
      </c>
      <c r="D2765" s="12">
        <f>AVERAGE(D2601,D2534,D2763)</f>
        <v>1.86025641</v>
      </c>
    </row>
    <row r="2766" ht="25.5" customHeight="1">
      <c r="A2766" s="4" t="s">
        <v>4548</v>
      </c>
      <c r="B2766" s="8"/>
      <c r="C2766" s="9" t="s">
        <v>4549</v>
      </c>
      <c r="D2766" s="12">
        <v>0.0</v>
      </c>
      <c r="E2766" s="10" t="s">
        <v>4550</v>
      </c>
    </row>
    <row r="2767" ht="25.5" customHeight="1">
      <c r="A2767" s="4" t="s">
        <v>4551</v>
      </c>
      <c r="B2767" s="8"/>
      <c r="C2767" s="6" t="s">
        <v>4552</v>
      </c>
      <c r="D2767" s="12">
        <f>AVERAGE(D2571,D2534)</f>
        <v>1.993131868</v>
      </c>
    </row>
    <row r="2768" ht="25.5" customHeight="1">
      <c r="A2768" s="4" t="s">
        <v>4553</v>
      </c>
      <c r="B2768" s="8"/>
      <c r="C2768" s="6" t="s">
        <v>1032</v>
      </c>
      <c r="D2768" s="12">
        <f>D2714+(((D2189-D2714)/9)*3)</f>
        <v>15.19643333</v>
      </c>
    </row>
    <row r="2769" ht="25.5" customHeight="1">
      <c r="A2769" s="4" t="s">
        <v>4554</v>
      </c>
      <c r="B2769" s="8"/>
      <c r="C2769" s="9" t="s">
        <v>1745</v>
      </c>
      <c r="D2769" s="12">
        <v>3.073</v>
      </c>
      <c r="E2769" s="10" t="s">
        <v>4555</v>
      </c>
    </row>
    <row r="2770" ht="25.5" customHeight="1">
      <c r="A2770" s="4" t="s">
        <v>4556</v>
      </c>
      <c r="B2770" s="8"/>
      <c r="C2770" s="6" t="s">
        <v>4557</v>
      </c>
      <c r="D2770" s="12">
        <f>D2769</f>
        <v>3.073</v>
      </c>
    </row>
    <row r="2771" ht="25.5" customHeight="1">
      <c r="A2771" s="4" t="s">
        <v>4558</v>
      </c>
      <c r="B2771" s="8"/>
      <c r="C2771" s="6" t="s">
        <v>4559</v>
      </c>
      <c r="D2771" s="12">
        <f>D2657</f>
        <v>4.464615385</v>
      </c>
    </row>
    <row r="2772" ht="25.5" customHeight="1">
      <c r="A2772" s="4" t="s">
        <v>4560</v>
      </c>
      <c r="B2772" s="8"/>
      <c r="C2772" s="6" t="s">
        <v>1438</v>
      </c>
      <c r="D2772" s="12">
        <f>D2635+(((D2766-D2635)/13)*4)</f>
        <v>10.04538462</v>
      </c>
    </row>
    <row r="2773" ht="25.5" customHeight="1">
      <c r="A2773" s="4" t="s">
        <v>4561</v>
      </c>
      <c r="B2773" s="8"/>
      <c r="C2773" s="6" t="s">
        <v>1747</v>
      </c>
      <c r="D2773" s="12">
        <f>AVERAGE(D2533,D2541,D2620,D2615)</f>
        <v>4.624065934</v>
      </c>
    </row>
    <row r="2774" ht="25.5" customHeight="1">
      <c r="A2774" s="4" t="s">
        <v>4562</v>
      </c>
      <c r="B2774" s="8"/>
      <c r="C2774" s="6" t="s">
        <v>4563</v>
      </c>
      <c r="D2774" s="12">
        <f>AVERAGE(D2764,D2594)</f>
        <v>5.258860806</v>
      </c>
    </row>
    <row r="2775" ht="25.5" customHeight="1">
      <c r="A2775" s="4" t="s">
        <v>4564</v>
      </c>
      <c r="B2775" s="8"/>
      <c r="C2775" s="6" t="s">
        <v>4565</v>
      </c>
      <c r="D2775" s="12">
        <f>AVERAGE(D2710,D2746,D2587,D2575)</f>
        <v>17.82388828</v>
      </c>
    </row>
    <row r="2776" ht="25.5" customHeight="1">
      <c r="A2776" s="4" t="s">
        <v>4566</v>
      </c>
      <c r="B2776" s="8"/>
      <c r="C2776" s="6" t="s">
        <v>3562</v>
      </c>
      <c r="D2776" s="12">
        <f>AVERAGE(D2638,D2606,D2760,D2738)</f>
        <v>16.26517844</v>
      </c>
    </row>
    <row r="2777" ht="25.5" customHeight="1">
      <c r="A2777" s="4" t="s">
        <v>4567</v>
      </c>
      <c r="B2777" s="8"/>
      <c r="C2777" s="6" t="s">
        <v>4568</v>
      </c>
      <c r="D2777" s="12">
        <f>AVERAGE(D2566,D1948,D2609,D2749)</f>
        <v>10.49649908</v>
      </c>
    </row>
    <row r="2778" ht="25.5" customHeight="1">
      <c r="A2778" s="4" t="s">
        <v>4569</v>
      </c>
      <c r="B2778" s="8"/>
      <c r="C2778" s="6" t="s">
        <v>4570</v>
      </c>
      <c r="D2778" s="12">
        <f>D2708</f>
        <v>12.90110623</v>
      </c>
    </row>
    <row r="2779" ht="25.5" customHeight="1">
      <c r="A2779" s="4" t="s">
        <v>4571</v>
      </c>
      <c r="B2779" s="8"/>
      <c r="C2779" s="6" t="s">
        <v>4572</v>
      </c>
      <c r="D2779" s="12">
        <f>D2766</f>
        <v>0</v>
      </c>
    </row>
    <row r="2780" ht="25.5" customHeight="1">
      <c r="A2780" s="4" t="s">
        <v>4573</v>
      </c>
      <c r="B2780" s="11"/>
      <c r="C2780" s="6" t="s">
        <v>4574</v>
      </c>
      <c r="D2780" s="12">
        <f>D2608</f>
        <v>2.232307692</v>
      </c>
    </row>
    <row r="2781" ht="25.5" customHeight="1">
      <c r="A2781" s="4" t="s">
        <v>4575</v>
      </c>
      <c r="B2781" s="5" t="s">
        <v>4576</v>
      </c>
      <c r="C2781" s="6" t="s">
        <v>3572</v>
      </c>
      <c r="D2781" s="12">
        <f>D182+(((D2805-D182)/6)*3)</f>
        <v>8.232307692</v>
      </c>
    </row>
    <row r="2782" ht="25.5" customHeight="1">
      <c r="A2782" s="4" t="s">
        <v>4577</v>
      </c>
      <c r="B2782" s="8"/>
      <c r="C2782" s="6" t="s">
        <v>4578</v>
      </c>
      <c r="D2782" s="12">
        <f>D1648+(((D2798-D1648)/11)*8)</f>
        <v>8.060963145</v>
      </c>
    </row>
    <row r="2783" ht="25.5" customHeight="1">
      <c r="A2783" s="4" t="s">
        <v>4579</v>
      </c>
      <c r="B2783" s="8"/>
      <c r="C2783" s="6" t="s">
        <v>4580</v>
      </c>
      <c r="D2783" s="12">
        <f>AVERAGE(D689,D2782,D2809)</f>
        <v>8.060963145</v>
      </c>
    </row>
    <row r="2784" ht="25.5" customHeight="1">
      <c r="A2784" s="4" t="s">
        <v>4581</v>
      </c>
      <c r="B2784" s="8"/>
      <c r="C2784" s="6" t="s">
        <v>2731</v>
      </c>
      <c r="D2784" s="12">
        <f>AVERAGE(D2805,D2788)</f>
        <v>12.98228205</v>
      </c>
    </row>
    <row r="2785" ht="25.5" customHeight="1">
      <c r="A2785" s="4" t="s">
        <v>4582</v>
      </c>
      <c r="B2785" s="8"/>
      <c r="C2785" s="6" t="s">
        <v>4583</v>
      </c>
      <c r="D2785" s="12">
        <f>AVERAGE(D3141,D2802)</f>
        <v>10.09555556</v>
      </c>
    </row>
    <row r="2786" ht="25.5" customHeight="1">
      <c r="A2786" s="4" t="s">
        <v>4584</v>
      </c>
      <c r="B2786" s="8"/>
      <c r="C2786" s="6" t="s">
        <v>1095</v>
      </c>
      <c r="D2786" s="12">
        <f>D1648+(((D2798-D1648)/11)*10)</f>
        <v>9.146987715</v>
      </c>
    </row>
    <row r="2787" ht="25.5" customHeight="1">
      <c r="A2787" s="4" t="s">
        <v>4585</v>
      </c>
      <c r="B2787" s="8"/>
      <c r="C2787" s="6" t="s">
        <v>4586</v>
      </c>
      <c r="D2787" s="12">
        <f>AVERAGE(D2802,D2805)</f>
        <v>10.22638889</v>
      </c>
    </row>
    <row r="2788" ht="25.5" customHeight="1">
      <c r="A2788" s="4" t="s">
        <v>4587</v>
      </c>
      <c r="B2788" s="8"/>
      <c r="C2788" s="6" t="s">
        <v>4588</v>
      </c>
      <c r="D2788" s="12">
        <f>D2794+(((D263-D2794)/10)*2)</f>
        <v>15.4045641</v>
      </c>
    </row>
    <row r="2789" ht="25.5" customHeight="1">
      <c r="A2789" s="4" t="s">
        <v>4589</v>
      </c>
      <c r="B2789" s="8"/>
      <c r="C2789" s="6" t="s">
        <v>545</v>
      </c>
      <c r="D2789" s="12">
        <f>D2791</f>
        <v>7.456410256</v>
      </c>
    </row>
    <row r="2790" ht="25.5" customHeight="1">
      <c r="A2790" s="4" t="s">
        <v>4590</v>
      </c>
      <c r="B2790" s="8"/>
      <c r="C2790" s="6" t="s">
        <v>549</v>
      </c>
      <c r="D2790" s="12">
        <f>D2794+(((D263-D2794)/10)*3)</f>
        <v>18.60274359</v>
      </c>
    </row>
    <row r="2791" ht="25.5" customHeight="1">
      <c r="A2791" s="4" t="s">
        <v>4591</v>
      </c>
      <c r="B2791" s="8"/>
      <c r="C2791" s="6" t="s">
        <v>2210</v>
      </c>
      <c r="D2791" s="12">
        <f>D182+(((D2805-D182)/6)*2)</f>
        <v>7.456410256</v>
      </c>
    </row>
    <row r="2792" ht="25.5" customHeight="1">
      <c r="A2792" s="4" t="s">
        <v>4592</v>
      </c>
      <c r="B2792" s="8"/>
      <c r="C2792" s="6" t="s">
        <v>4593</v>
      </c>
      <c r="D2792" s="12">
        <f>D182+(((D2805-D182)/6)*5)</f>
        <v>9.784102564</v>
      </c>
    </row>
    <row r="2793" ht="25.5" customHeight="1">
      <c r="A2793" s="4" t="s">
        <v>4594</v>
      </c>
      <c r="B2793" s="8"/>
      <c r="C2793" s="6" t="s">
        <v>1356</v>
      </c>
      <c r="D2793" s="12">
        <f>AVERAGE(D2791,D2807,D182,D176)</f>
        <v>6.906346154</v>
      </c>
    </row>
    <row r="2794" ht="25.5" customHeight="1">
      <c r="A2794" s="4" t="s">
        <v>4595</v>
      </c>
      <c r="B2794" s="8"/>
      <c r="C2794" s="6" t="s">
        <v>4596</v>
      </c>
      <c r="D2794" s="12">
        <f>D182+(((D2805-D182)/6)*4)</f>
        <v>9.008205128</v>
      </c>
    </row>
    <row r="2795" ht="25.5" customHeight="1">
      <c r="A2795" s="4" t="s">
        <v>4597</v>
      </c>
      <c r="B2795" s="8"/>
      <c r="C2795" s="6" t="s">
        <v>171</v>
      </c>
      <c r="D2795" s="12">
        <f>AVERAGE(D2809,D2786,D2798,D2802)</f>
        <v>9.333435231</v>
      </c>
    </row>
    <row r="2796" ht="25.5" customHeight="1">
      <c r="A2796" s="4" t="s">
        <v>4598</v>
      </c>
      <c r="B2796" s="8"/>
      <c r="C2796" s="6" t="s">
        <v>4599</v>
      </c>
      <c r="D2796" s="12">
        <f>AVERAGE(D2801,D2781)</f>
        <v>10.21934615</v>
      </c>
    </row>
    <row r="2797" ht="25.5" customHeight="1">
      <c r="A2797" s="4" t="s">
        <v>4600</v>
      </c>
      <c r="B2797" s="8"/>
      <c r="C2797" s="6" t="s">
        <v>4601</v>
      </c>
      <c r="D2797" s="12">
        <f>AVERAGE(D2809,D2802,D2804)</f>
        <v>13.43255876</v>
      </c>
    </row>
    <row r="2798" ht="25.5" customHeight="1">
      <c r="A2798" s="4" t="s">
        <v>4602</v>
      </c>
      <c r="B2798" s="8"/>
      <c r="C2798" s="9" t="s">
        <v>4603</v>
      </c>
      <c r="D2798" s="12">
        <v>9.69</v>
      </c>
      <c r="E2798" s="10" t="s">
        <v>4604</v>
      </c>
    </row>
    <row r="2799" ht="25.5" customHeight="1">
      <c r="A2799" s="4" t="s">
        <v>4605</v>
      </c>
      <c r="B2799" s="8"/>
      <c r="C2799" s="6" t="s">
        <v>604</v>
      </c>
      <c r="D2799" s="12">
        <f>AVERAGE(D2790,D176,D183,D174)</f>
        <v>10.96828205</v>
      </c>
    </row>
    <row r="2800" ht="25.5" customHeight="1">
      <c r="A2800" s="4" t="s">
        <v>4606</v>
      </c>
      <c r="B2800" s="8"/>
      <c r="C2800" s="6" t="s">
        <v>4607</v>
      </c>
      <c r="D2800" s="12">
        <f>AVERAGE(D2805,D2792,D2794,D2801,D2788)</f>
        <v>11.39265128</v>
      </c>
    </row>
    <row r="2801" ht="25.5" customHeight="1">
      <c r="A2801" s="4" t="s">
        <v>4608</v>
      </c>
      <c r="B2801" s="8"/>
      <c r="C2801" s="6" t="s">
        <v>318</v>
      </c>
      <c r="D2801" s="12">
        <f>D2794+(((D263-D2794)/10)*1)</f>
        <v>12.20638462</v>
      </c>
    </row>
    <row r="2802" ht="25.5" customHeight="1">
      <c r="A2802" s="4" t="s">
        <v>4609</v>
      </c>
      <c r="B2802" s="8"/>
      <c r="C2802" s="6" t="s">
        <v>610</v>
      </c>
      <c r="D2802" s="12">
        <f>D2798+(((D1865-D2798)/18)*1)</f>
        <v>9.892777778</v>
      </c>
    </row>
    <row r="2803" ht="25.5" customHeight="1">
      <c r="A2803" s="4" t="s">
        <v>4610</v>
      </c>
      <c r="B2803" s="8"/>
      <c r="C2803" s="6" t="s">
        <v>4611</v>
      </c>
      <c r="D2803" s="7">
        <f>D222+(((D2798-D222)/13)*12)</f>
        <v>9.970769231</v>
      </c>
    </row>
    <row r="2804" ht="25.5" customHeight="1">
      <c r="A2804" s="4" t="s">
        <v>4612</v>
      </c>
      <c r="B2804" s="8"/>
      <c r="C2804" s="6" t="s">
        <v>4613</v>
      </c>
      <c r="D2804" s="12">
        <f>AVERAGE(D2790,D270)</f>
        <v>21.80092308</v>
      </c>
    </row>
    <row r="2805" ht="25.5" customHeight="1">
      <c r="A2805" s="4" t="s">
        <v>4614</v>
      </c>
      <c r="B2805" s="8"/>
      <c r="C2805" s="9" t="s">
        <v>4615</v>
      </c>
      <c r="D2805" s="12">
        <v>10.56</v>
      </c>
      <c r="E2805" s="10" t="s">
        <v>4616</v>
      </c>
    </row>
    <row r="2806" ht="25.5" customHeight="1">
      <c r="A2806" s="4" t="s">
        <v>4617</v>
      </c>
      <c r="B2806" s="8"/>
      <c r="C2806" s="6" t="s">
        <v>4618</v>
      </c>
      <c r="D2806" s="12">
        <f>AVERAGE(D2802,D2798,D2805)</f>
        <v>10.04759259</v>
      </c>
    </row>
    <row r="2807" ht="25.5" customHeight="1">
      <c r="A2807" s="4" t="s">
        <v>4619</v>
      </c>
      <c r="B2807" s="8"/>
      <c r="C2807" s="6" t="s">
        <v>197</v>
      </c>
      <c r="D2807" s="12">
        <f>D182+(((D2805-D182)/6)*1)</f>
        <v>6.680512821</v>
      </c>
    </row>
    <row r="2808" ht="25.5" customHeight="1">
      <c r="A2808" s="4" t="s">
        <v>4620</v>
      </c>
      <c r="B2808" s="8"/>
      <c r="C2808" s="6" t="s">
        <v>1028</v>
      </c>
      <c r="D2808" s="12">
        <f>AVERAGE(D2788,D2801)</f>
        <v>13.80547436</v>
      </c>
    </row>
    <row r="2809" ht="25.5" customHeight="1">
      <c r="A2809" s="4" t="s">
        <v>4621</v>
      </c>
      <c r="B2809" s="11"/>
      <c r="C2809" s="6" t="s">
        <v>4622</v>
      </c>
      <c r="D2809" s="12">
        <f>D1648+(((D2798-D1648)/11)*9)</f>
        <v>8.60397543</v>
      </c>
    </row>
    <row r="2810" ht="25.5" customHeight="1">
      <c r="A2810" s="4" t="s">
        <v>4623</v>
      </c>
      <c r="B2810" s="5" t="s">
        <v>4624</v>
      </c>
      <c r="C2810" s="6" t="s">
        <v>4625</v>
      </c>
      <c r="D2810" s="12">
        <f>D1218</f>
        <v>0</v>
      </c>
    </row>
    <row r="2811" ht="25.5" customHeight="1">
      <c r="A2811" s="4" t="s">
        <v>4626</v>
      </c>
      <c r="B2811" s="8"/>
      <c r="C2811" s="6" t="s">
        <v>4627</v>
      </c>
      <c r="D2811" s="12">
        <f>D2818+(((D2868-D2818)/5)*1)</f>
        <v>9.28159387</v>
      </c>
    </row>
    <row r="2812" ht="25.5" customHeight="1">
      <c r="A2812" s="4" t="s">
        <v>4628</v>
      </c>
      <c r="B2812" s="8"/>
      <c r="C2812" s="6" t="s">
        <v>4629</v>
      </c>
      <c r="D2812" s="12">
        <f>AVERAGE(D2848,D2817)</f>
        <v>0</v>
      </c>
    </row>
    <row r="2813" ht="25.5" customHeight="1">
      <c r="A2813" s="4" t="s">
        <v>4630</v>
      </c>
      <c r="B2813" s="8"/>
      <c r="C2813" s="6" t="s">
        <v>2820</v>
      </c>
      <c r="D2813" s="12">
        <f>D3108+(((D2918-D3108)/4)*3)</f>
        <v>11.87713602</v>
      </c>
    </row>
    <row r="2814" ht="25.5" customHeight="1">
      <c r="A2814" s="4" t="s">
        <v>4631</v>
      </c>
      <c r="B2814" s="8"/>
      <c r="C2814" s="6" t="s">
        <v>4632</v>
      </c>
      <c r="D2814" s="12">
        <f>AVERAGE(D2841,D2907,D2835,D2844)</f>
        <v>1.62175431</v>
      </c>
    </row>
    <row r="2815" ht="25.5" customHeight="1">
      <c r="A2815" s="4" t="s">
        <v>4633</v>
      </c>
      <c r="B2815" s="8"/>
      <c r="C2815" s="6" t="s">
        <v>4634</v>
      </c>
      <c r="D2815" s="12">
        <f>AVERAGE(D2820,D2918,D2892)</f>
        <v>11.09658692</v>
      </c>
    </row>
    <row r="2816" ht="25.5" customHeight="1">
      <c r="A2816" s="4" t="s">
        <v>4635</v>
      </c>
      <c r="B2816" s="8"/>
      <c r="C2816" s="6" t="s">
        <v>4636</v>
      </c>
      <c r="D2816" s="12">
        <f>AVERAGE(D2826,D2908,D2832,D2828,D2815,D2892)</f>
        <v>7.072604693</v>
      </c>
    </row>
    <row r="2817" ht="25.5" customHeight="1">
      <c r="A2817" s="4" t="s">
        <v>4637</v>
      </c>
      <c r="B2817" s="8"/>
      <c r="C2817" s="6" t="s">
        <v>4638</v>
      </c>
      <c r="D2817" s="12">
        <f>AVERAGE(D2848,D320)</f>
        <v>0</v>
      </c>
    </row>
    <row r="2818" ht="25.5" customHeight="1">
      <c r="A2818" s="4" t="s">
        <v>4639</v>
      </c>
      <c r="B2818" s="8"/>
      <c r="C2818" s="6" t="s">
        <v>4640</v>
      </c>
      <c r="D2818" s="12">
        <f>D1216+(((D2941-D1216)/11)*5)</f>
        <v>11.60199234</v>
      </c>
    </row>
    <row r="2819" ht="25.5" customHeight="1">
      <c r="A2819" s="4" t="s">
        <v>4641</v>
      </c>
      <c r="B2819" s="8"/>
      <c r="C2819" s="6" t="s">
        <v>1762</v>
      </c>
      <c r="D2819" s="12">
        <f>AVERAGE(D2818,D2918,D2813,D3080)</f>
        <v>11.8083501</v>
      </c>
    </row>
    <row r="2820" ht="25.5" customHeight="1">
      <c r="A2820" s="4" t="s">
        <v>4642</v>
      </c>
      <c r="B2820" s="8"/>
      <c r="C2820" s="6" t="s">
        <v>4643</v>
      </c>
      <c r="D2820" s="12">
        <f>AVERAGE(D2854,D2917,D2822,D2918)</f>
        <v>11.03737761</v>
      </c>
    </row>
    <row r="2821" ht="25.5" customHeight="1">
      <c r="A2821" s="4" t="s">
        <v>4644</v>
      </c>
      <c r="B2821" s="8"/>
      <c r="C2821" s="6" t="s">
        <v>4645</v>
      </c>
      <c r="D2821" s="12">
        <f>D2123+(((D1717-D2123)/18)*12)</f>
        <v>11.56804598</v>
      </c>
    </row>
    <row r="2822" ht="25.5" customHeight="1">
      <c r="A2822" s="4" t="s">
        <v>4646</v>
      </c>
      <c r="B2822" s="8"/>
      <c r="C2822" s="6" t="s">
        <v>4647</v>
      </c>
      <c r="D2822" s="12">
        <f>D1216+(((D2941-D1216)/11)*7)</f>
        <v>11.33478927</v>
      </c>
    </row>
    <row r="2823" ht="25.5" customHeight="1">
      <c r="A2823" s="4" t="s">
        <v>4648</v>
      </c>
      <c r="B2823" s="8"/>
      <c r="C2823" s="6" t="s">
        <v>2050</v>
      </c>
      <c r="D2823" s="12">
        <f>D2935</f>
        <v>9.629290032</v>
      </c>
    </row>
    <row r="2824" ht="25.5" customHeight="1">
      <c r="A2824" s="4" t="s">
        <v>4649</v>
      </c>
      <c r="B2824" s="8"/>
      <c r="C2824" s="6" t="s">
        <v>2834</v>
      </c>
      <c r="D2824" s="12">
        <f>D2903+(((D434-D2903)/29)*2)</f>
        <v>0.9282758621</v>
      </c>
    </row>
    <row r="2825" ht="25.5" customHeight="1">
      <c r="A2825" s="4" t="s">
        <v>4650</v>
      </c>
      <c r="B2825" s="8"/>
      <c r="C2825" s="6" t="s">
        <v>1072</v>
      </c>
      <c r="D2825" s="12">
        <f>AVERAGE(D2920,D2932,D3094)</f>
        <v>11.21021197</v>
      </c>
    </row>
    <row r="2826" ht="25.5" customHeight="1">
      <c r="A2826" s="4" t="s">
        <v>4651</v>
      </c>
      <c r="B2826" s="8"/>
      <c r="C2826" s="6" t="s">
        <v>4652</v>
      </c>
      <c r="D2826" s="12">
        <f>AVERAGE(D2892,D2811,D2852)</f>
        <v>9.008927203</v>
      </c>
    </row>
    <row r="2827" ht="25.5" customHeight="1">
      <c r="A2827" s="4" t="s">
        <v>4653</v>
      </c>
      <c r="B2827" s="8"/>
      <c r="C2827" s="6" t="s">
        <v>1074</v>
      </c>
      <c r="D2827" s="12">
        <f>D2918</f>
        <v>11.4683908</v>
      </c>
    </row>
    <row r="2828" ht="25.5" customHeight="1">
      <c r="A2828" s="4" t="s">
        <v>4654</v>
      </c>
      <c r="B2828" s="8"/>
      <c r="C2828" s="6" t="s">
        <v>1785</v>
      </c>
      <c r="D2828" s="12">
        <f>AVERAGE(D2820,D2904,D2864,D2832)</f>
        <v>6.112678275</v>
      </c>
    </row>
    <row r="2829" ht="25.5" customHeight="1">
      <c r="A2829" s="4" t="s">
        <v>4655</v>
      </c>
      <c r="B2829" s="8"/>
      <c r="C2829" s="6" t="s">
        <v>2085</v>
      </c>
      <c r="D2829" s="12">
        <f>D2927+(((D1755-D2927)/13)*2)</f>
        <v>0</v>
      </c>
    </row>
    <row r="2830" ht="25.5" customHeight="1">
      <c r="A2830" s="4" t="s">
        <v>4656</v>
      </c>
      <c r="B2830" s="8"/>
      <c r="C2830" s="6" t="s">
        <v>218</v>
      </c>
      <c r="D2830" s="12">
        <f>D2123+(((D1717-D2123)/18)*14)</f>
        <v>10.03272031</v>
      </c>
    </row>
    <row r="2831" ht="25.5" customHeight="1">
      <c r="A2831" s="4" t="s">
        <v>4657</v>
      </c>
      <c r="B2831" s="8"/>
      <c r="C2831" s="6" t="s">
        <v>4658</v>
      </c>
      <c r="D2831" s="12">
        <f>AVERAGE(D2868,D2893,D2873)</f>
        <v>0</v>
      </c>
    </row>
    <row r="2832" ht="25.5" customHeight="1">
      <c r="A2832" s="4" t="s">
        <v>4659</v>
      </c>
      <c r="B2832" s="8"/>
      <c r="C2832" s="6" t="s">
        <v>662</v>
      </c>
      <c r="D2832" s="12">
        <f>AVERAGE(D2864,D2889,D2882)</f>
        <v>2.142015071</v>
      </c>
    </row>
    <row r="2833" ht="25.5" customHeight="1">
      <c r="A2833" s="4" t="s">
        <v>4660</v>
      </c>
      <c r="B2833" s="8"/>
      <c r="C2833" s="6" t="s">
        <v>4661</v>
      </c>
      <c r="D2833" s="12">
        <f>D2811</f>
        <v>9.28159387</v>
      </c>
    </row>
    <row r="2834" ht="25.5" customHeight="1">
      <c r="A2834" s="4" t="s">
        <v>4662</v>
      </c>
      <c r="B2834" s="8"/>
      <c r="C2834" s="6" t="s">
        <v>4663</v>
      </c>
      <c r="D2834" s="12">
        <f>D2906</f>
        <v>0</v>
      </c>
    </row>
    <row r="2835" ht="25.5" customHeight="1">
      <c r="A2835" s="4" t="s">
        <v>4664</v>
      </c>
      <c r="B2835" s="8"/>
      <c r="C2835" s="6" t="s">
        <v>3867</v>
      </c>
      <c r="D2835" s="12">
        <f>D2927+(((D1755-D2927)/13)*6)</f>
        <v>0</v>
      </c>
    </row>
    <row r="2836" ht="25.5" customHeight="1">
      <c r="A2836" s="4" t="s">
        <v>4665</v>
      </c>
      <c r="B2836" s="8"/>
      <c r="C2836" s="6" t="s">
        <v>92</v>
      </c>
      <c r="D2836" s="12">
        <f>AVERAGE(D3086,D2855,D2934,D2850)</f>
        <v>9.018797893</v>
      </c>
    </row>
    <row r="2837" ht="25.5" customHeight="1">
      <c r="A2837" s="4" t="s">
        <v>4666</v>
      </c>
      <c r="B2837" s="8"/>
      <c r="C2837" s="6" t="s">
        <v>4667</v>
      </c>
      <c r="D2837" s="12">
        <f>D2835</f>
        <v>0</v>
      </c>
    </row>
    <row r="2838" ht="25.5" customHeight="1">
      <c r="A2838" s="4" t="s">
        <v>4668</v>
      </c>
      <c r="B2838" s="8"/>
      <c r="C2838" s="6" t="s">
        <v>106</v>
      </c>
      <c r="D2838" s="12">
        <f>D2813</f>
        <v>11.87713602</v>
      </c>
    </row>
    <row r="2839" ht="25.5" customHeight="1">
      <c r="A2839" s="4" t="s">
        <v>4669</v>
      </c>
      <c r="B2839" s="8"/>
      <c r="C2839" s="6" t="s">
        <v>3592</v>
      </c>
      <c r="D2839" s="12">
        <f>AVERAGE(D2891,D2917,D2822,D2813)</f>
        <v>11.37017481</v>
      </c>
    </row>
    <row r="2840" ht="25.5" customHeight="1">
      <c r="A2840" s="4" t="s">
        <v>4670</v>
      </c>
      <c r="B2840" s="8"/>
      <c r="C2840" s="6" t="s">
        <v>4671</v>
      </c>
      <c r="D2840" s="12">
        <f>AVERAGE(D2850,D2927,D2926)</f>
        <v>1.318799489</v>
      </c>
    </row>
    <row r="2841" ht="25.5" customHeight="1">
      <c r="A2841" s="4" t="s">
        <v>4672</v>
      </c>
      <c r="B2841" s="8"/>
      <c r="C2841" s="6" t="s">
        <v>1315</v>
      </c>
      <c r="D2841" s="12">
        <f>AVERAGE(D2826,D2852,D2860,D2907)</f>
        <v>4.862680077</v>
      </c>
    </row>
    <row r="2842" ht="25.5" customHeight="1">
      <c r="A2842" s="4" t="s">
        <v>4673</v>
      </c>
      <c r="B2842" s="8"/>
      <c r="C2842" s="6" t="s">
        <v>4674</v>
      </c>
      <c r="D2842" s="12">
        <f>D2904</f>
        <v>7.346159784</v>
      </c>
    </row>
    <row r="2843" ht="25.5" customHeight="1">
      <c r="A2843" s="4" t="s">
        <v>4675</v>
      </c>
      <c r="B2843" s="8"/>
      <c r="C2843" s="6" t="s">
        <v>4676</v>
      </c>
      <c r="D2843" s="12">
        <f>AVERAGE(D2920)</f>
        <v>9.92206331</v>
      </c>
    </row>
    <row r="2844" ht="25.5" customHeight="1">
      <c r="A2844" s="4" t="s">
        <v>4677</v>
      </c>
      <c r="B2844" s="8"/>
      <c r="C2844" s="6" t="s">
        <v>4678</v>
      </c>
      <c r="D2844" s="12">
        <f>D2903+(((D434-D2903)/29)*1)</f>
        <v>0.464137931</v>
      </c>
    </row>
    <row r="2845" ht="25.5" customHeight="1">
      <c r="A2845" s="4" t="s">
        <v>4679</v>
      </c>
      <c r="B2845" s="8"/>
      <c r="C2845" s="6" t="s">
        <v>4680</v>
      </c>
      <c r="D2845" s="12">
        <f>D2863</f>
        <v>0</v>
      </c>
    </row>
    <row r="2846" ht="25.5" customHeight="1">
      <c r="A2846" s="4" t="s">
        <v>4681</v>
      </c>
      <c r="B2846" s="8"/>
      <c r="C2846" s="6" t="s">
        <v>2054</v>
      </c>
      <c r="D2846" s="12">
        <f>AVERAGE(D2829,D2874)</f>
        <v>0</v>
      </c>
    </row>
    <row r="2847" ht="25.5" customHeight="1">
      <c r="A2847" s="4" t="s">
        <v>4682</v>
      </c>
      <c r="B2847" s="8"/>
      <c r="C2847" s="6" t="s">
        <v>4683</v>
      </c>
      <c r="D2847" s="7">
        <f>D2270+(((D2927-D2270)/10)*8)</f>
        <v>0</v>
      </c>
    </row>
    <row r="2848" ht="25.5" customHeight="1">
      <c r="A2848" s="4" t="s">
        <v>4684</v>
      </c>
      <c r="B2848" s="8"/>
      <c r="C2848" s="6" t="s">
        <v>4685</v>
      </c>
      <c r="D2848" s="12">
        <f t="shared" ref="D2848:D2849" si="1">D2847</f>
        <v>0</v>
      </c>
    </row>
    <row r="2849" ht="25.5" customHeight="1">
      <c r="A2849" s="4" t="s">
        <v>4686</v>
      </c>
      <c r="B2849" s="8"/>
      <c r="C2849" s="6" t="s">
        <v>4687</v>
      </c>
      <c r="D2849" s="12">
        <f t="shared" si="1"/>
        <v>0</v>
      </c>
    </row>
    <row r="2850" ht="25.5" customHeight="1">
      <c r="A2850" s="4" t="s">
        <v>4688</v>
      </c>
      <c r="B2850" s="8"/>
      <c r="C2850" s="6" t="s">
        <v>4689</v>
      </c>
      <c r="D2850" s="12">
        <f>D2923+(((D2910-D2923)/3)*2)</f>
        <v>3.956398467</v>
      </c>
    </row>
    <row r="2851" ht="25.5" customHeight="1">
      <c r="A2851" s="4" t="s">
        <v>4690</v>
      </c>
      <c r="B2851" s="8"/>
      <c r="C2851" s="6" t="s">
        <v>872</v>
      </c>
      <c r="D2851" s="12">
        <f>AVERAGE(D2891,D2911,D2830)</f>
        <v>10.67809706</v>
      </c>
    </row>
    <row r="2852" ht="25.5" customHeight="1">
      <c r="A2852" s="4" t="s">
        <v>4691</v>
      </c>
      <c r="B2852" s="8"/>
      <c r="C2852" s="6" t="s">
        <v>4692</v>
      </c>
      <c r="D2852" s="12">
        <f>D2818+(((D2868-D2818)/5)*2)</f>
        <v>6.961195402</v>
      </c>
    </row>
    <row r="2853" ht="25.5" customHeight="1">
      <c r="A2853" s="4" t="s">
        <v>4693</v>
      </c>
      <c r="B2853" s="8"/>
      <c r="C2853" s="6" t="s">
        <v>126</v>
      </c>
      <c r="D2853" s="12">
        <f>AVERAGE(D2872,D2925)</f>
        <v>0</v>
      </c>
    </row>
    <row r="2854" ht="25.5" customHeight="1">
      <c r="A2854" s="4" t="s">
        <v>4694</v>
      </c>
      <c r="B2854" s="8"/>
      <c r="C2854" s="6" t="s">
        <v>4695</v>
      </c>
      <c r="D2854" s="12">
        <f>AVERAGE(D2902,D2851,D2917)</f>
        <v>10.14514261</v>
      </c>
    </row>
    <row r="2855" ht="25.5" customHeight="1">
      <c r="A2855" s="4" t="s">
        <v>4696</v>
      </c>
      <c r="B2855" s="8"/>
      <c r="C2855" s="6" t="s">
        <v>2094</v>
      </c>
      <c r="D2855" s="12">
        <f>D1216+(((D2941-D1216)/11)*2)</f>
        <v>12.00279693</v>
      </c>
    </row>
    <row r="2856" ht="25.5" customHeight="1">
      <c r="A2856" s="4" t="s">
        <v>4697</v>
      </c>
      <c r="B2856" s="8"/>
      <c r="C2856" s="6" t="s">
        <v>4698</v>
      </c>
      <c r="D2856" s="12">
        <f>D2927</f>
        <v>0</v>
      </c>
    </row>
    <row r="2857" ht="25.5" customHeight="1">
      <c r="A2857" s="4" t="s">
        <v>4699</v>
      </c>
      <c r="B2857" s="8"/>
      <c r="C2857" s="6" t="s">
        <v>4700</v>
      </c>
      <c r="D2857" s="12">
        <f>D2830</f>
        <v>10.03272031</v>
      </c>
    </row>
    <row r="2858" ht="25.5" customHeight="1">
      <c r="A2858" s="4" t="s">
        <v>4701</v>
      </c>
      <c r="B2858" s="8"/>
      <c r="C2858" s="6" t="s">
        <v>4062</v>
      </c>
      <c r="D2858" s="12">
        <f>AVERAGE(D3095,D2821,D2911,D2891)</f>
        <v>11.47633142</v>
      </c>
    </row>
    <row r="2859" ht="25.5" customHeight="1">
      <c r="A2859" s="4" t="s">
        <v>4702</v>
      </c>
      <c r="B2859" s="8"/>
      <c r="C2859" s="6" t="s">
        <v>3236</v>
      </c>
      <c r="D2859" s="12">
        <f>AVERAGE(D2890,D2874)</f>
        <v>0</v>
      </c>
    </row>
    <row r="2860" ht="25.5" customHeight="1">
      <c r="A2860" s="4" t="s">
        <v>4703</v>
      </c>
      <c r="B2860" s="8"/>
      <c r="C2860" s="6" t="s">
        <v>4704</v>
      </c>
      <c r="D2860" s="12">
        <f>D2818+(((D2868-D2818)/5)*4)</f>
        <v>2.320398467</v>
      </c>
    </row>
    <row r="2861" ht="25.5" customHeight="1">
      <c r="A2861" s="4" t="s">
        <v>4705</v>
      </c>
      <c r="B2861" s="8"/>
      <c r="C2861" s="6" t="s">
        <v>1819</v>
      </c>
      <c r="D2861" s="12">
        <f>AVERAGE(D2830,D2941,D2924)</f>
        <v>10.34931335</v>
      </c>
    </row>
    <row r="2862" ht="25.5" customHeight="1">
      <c r="A2862" s="4" t="s">
        <v>4706</v>
      </c>
      <c r="B2862" s="8"/>
      <c r="C2862" s="6" t="s">
        <v>130</v>
      </c>
      <c r="D2862" s="12">
        <f>AVERAGE(D2900,D2811,D2919)</f>
        <v>8.275828438</v>
      </c>
    </row>
    <row r="2863" ht="25.5" customHeight="1">
      <c r="A2863" s="4" t="s">
        <v>4707</v>
      </c>
      <c r="B2863" s="8"/>
      <c r="C2863" s="6" t="s">
        <v>4708</v>
      </c>
      <c r="D2863" s="12">
        <f>D2927+(((D1755-D2927)/13)*9)</f>
        <v>0</v>
      </c>
    </row>
    <row r="2864" ht="25.5" customHeight="1">
      <c r="A2864" s="4" t="s">
        <v>4709</v>
      </c>
      <c r="B2864" s="8"/>
      <c r="C2864" s="6" t="s">
        <v>2886</v>
      </c>
      <c r="D2864" s="12">
        <f>AVERAGE(D2904,D2889,D1674,D1730)</f>
        <v>3.925160636</v>
      </c>
    </row>
    <row r="2865" ht="25.5" customHeight="1">
      <c r="A2865" s="4" t="s">
        <v>4710</v>
      </c>
      <c r="B2865" s="8"/>
      <c r="C2865" s="6" t="s">
        <v>3888</v>
      </c>
      <c r="D2865" s="12">
        <f>D2894</f>
        <v>0</v>
      </c>
    </row>
    <row r="2866" ht="25.5" customHeight="1">
      <c r="A2866" s="4" t="s">
        <v>4711</v>
      </c>
      <c r="B2866" s="8"/>
      <c r="C2866" s="6" t="s">
        <v>4712</v>
      </c>
      <c r="D2866" s="12">
        <f>D2927+(((D1755-D2927)/13)*3)</f>
        <v>0</v>
      </c>
    </row>
    <row r="2867" ht="25.5" customHeight="1">
      <c r="A2867" s="4" t="s">
        <v>4713</v>
      </c>
      <c r="B2867" s="8"/>
      <c r="C2867" s="6" t="s">
        <v>4714</v>
      </c>
      <c r="D2867" s="12">
        <f>D2919</f>
        <v>11.73559387</v>
      </c>
    </row>
    <row r="2868" ht="25.5" customHeight="1">
      <c r="A2868" s="4" t="s">
        <v>4715</v>
      </c>
      <c r="B2868" s="8"/>
      <c r="C2868" s="6" t="s">
        <v>4716</v>
      </c>
      <c r="D2868" s="12">
        <f>D2927+(((D1755-D2927)/13)*4)</f>
        <v>0</v>
      </c>
    </row>
    <row r="2869" ht="25.5" customHeight="1">
      <c r="A2869" s="4" t="s">
        <v>4717</v>
      </c>
      <c r="B2869" s="8"/>
      <c r="C2869" s="6" t="s">
        <v>134</v>
      </c>
      <c r="D2869" s="12">
        <f>AVERAGE(D2854,D2902,D1736)</f>
        <v>7.634115226</v>
      </c>
    </row>
    <row r="2870" ht="25.5" customHeight="1">
      <c r="A2870" s="4" t="s">
        <v>4718</v>
      </c>
      <c r="B2870" s="8"/>
      <c r="C2870" s="6" t="s">
        <v>3490</v>
      </c>
      <c r="D2870" s="12">
        <f>D2818</f>
        <v>11.60199234</v>
      </c>
    </row>
    <row r="2871" ht="25.5" customHeight="1">
      <c r="A2871" s="4" t="s">
        <v>4719</v>
      </c>
      <c r="B2871" s="8"/>
      <c r="C2871" s="6" t="s">
        <v>4720</v>
      </c>
      <c r="D2871" s="12">
        <f>D2909</f>
        <v>0</v>
      </c>
    </row>
    <row r="2872" ht="25.5" customHeight="1">
      <c r="A2872" s="4" t="s">
        <v>4721</v>
      </c>
      <c r="B2872" s="8"/>
      <c r="C2872" s="6" t="s">
        <v>4722</v>
      </c>
      <c r="D2872" s="12">
        <f>AVERAGE(D2930,D2925,D2929)</f>
        <v>0</v>
      </c>
    </row>
    <row r="2873" ht="25.5" customHeight="1">
      <c r="A2873" s="4" t="s">
        <v>4723</v>
      </c>
      <c r="B2873" s="8"/>
      <c r="C2873" s="6" t="s">
        <v>4724</v>
      </c>
      <c r="D2873" s="12">
        <f>D2893</f>
        <v>0</v>
      </c>
    </row>
    <row r="2874" ht="25.5" customHeight="1">
      <c r="A2874" s="4" t="s">
        <v>4725</v>
      </c>
      <c r="B2874" s="8"/>
      <c r="C2874" s="6" t="s">
        <v>4726</v>
      </c>
      <c r="D2874" s="12">
        <f>AVERAGE(D2829,D2876)</f>
        <v>0</v>
      </c>
    </row>
    <row r="2875" ht="25.5" customHeight="1">
      <c r="A2875" s="4" t="s">
        <v>4727</v>
      </c>
      <c r="B2875" s="8"/>
      <c r="C2875" s="6" t="s">
        <v>4728</v>
      </c>
      <c r="D2875" s="12">
        <f>AVERAGE(D2927,D2829)</f>
        <v>0</v>
      </c>
    </row>
    <row r="2876" ht="25.5" customHeight="1">
      <c r="A2876" s="4" t="s">
        <v>4729</v>
      </c>
      <c r="B2876" s="8"/>
      <c r="C2876" s="6" t="s">
        <v>4730</v>
      </c>
      <c r="D2876" s="12">
        <f>AVERAGE(D2829,D2866,D2893)</f>
        <v>0</v>
      </c>
    </row>
    <row r="2877" ht="25.5" customHeight="1">
      <c r="A2877" s="4" t="s">
        <v>4731</v>
      </c>
      <c r="B2877" s="8"/>
      <c r="C2877" s="6" t="s">
        <v>3149</v>
      </c>
      <c r="D2877" s="12">
        <f>D2875</f>
        <v>0</v>
      </c>
    </row>
    <row r="2878" ht="25.5" customHeight="1">
      <c r="A2878" s="4" t="s">
        <v>4732</v>
      </c>
      <c r="B2878" s="8"/>
      <c r="C2878" s="6" t="s">
        <v>149</v>
      </c>
      <c r="D2878" s="12">
        <f>AVERAGE(D2922,D2444,D1003)</f>
        <v>7.200298688</v>
      </c>
    </row>
    <row r="2879" ht="25.5" customHeight="1">
      <c r="A2879" s="4" t="s">
        <v>4733</v>
      </c>
      <c r="B2879" s="8"/>
      <c r="C2879" s="6" t="s">
        <v>3898</v>
      </c>
      <c r="D2879" s="12">
        <f>D2918</f>
        <v>11.4683908</v>
      </c>
    </row>
    <row r="2880" ht="25.5" customHeight="1">
      <c r="A2880" s="4" t="s">
        <v>4734</v>
      </c>
      <c r="B2880" s="8"/>
      <c r="C2880" s="6" t="s">
        <v>4735</v>
      </c>
      <c r="D2880" s="12">
        <f>AVERAGE(D2836,D2850,D2910,D2848,D1210,D1205,D1216,D3086)</f>
        <v>6.214799449</v>
      </c>
    </row>
    <row r="2881" ht="25.5" customHeight="1">
      <c r="A2881" s="4" t="s">
        <v>4736</v>
      </c>
      <c r="B2881" s="8"/>
      <c r="C2881" s="6" t="s">
        <v>1142</v>
      </c>
      <c r="D2881" s="12">
        <f>D2818+(((D2868-D2818)/5)*3)</f>
        <v>4.640796935</v>
      </c>
    </row>
    <row r="2882" ht="25.5" customHeight="1">
      <c r="A2882" s="4" t="s">
        <v>4737</v>
      </c>
      <c r="B2882" s="8"/>
      <c r="C2882" s="6" t="s">
        <v>4738</v>
      </c>
      <c r="D2882" s="12">
        <f>AVERAGE(D2899,D2824,D2889)</f>
        <v>1.108470785</v>
      </c>
    </row>
    <row r="2883" ht="25.5" customHeight="1">
      <c r="A2883" s="4" t="s">
        <v>4739</v>
      </c>
      <c r="B2883" s="8"/>
      <c r="C2883" s="6" t="s">
        <v>4740</v>
      </c>
      <c r="D2883" s="12">
        <f>AVERAGE(D2815,D2828,D2820)</f>
        <v>9.4155476</v>
      </c>
    </row>
    <row r="2884" ht="25.5" customHeight="1">
      <c r="A2884" s="4" t="s">
        <v>4741</v>
      </c>
      <c r="B2884" s="8"/>
      <c r="C2884" s="6" t="s">
        <v>157</v>
      </c>
      <c r="D2884" s="12">
        <f>AVERAGE(D2901,D2913,D2840,D2900,D2862)</f>
        <v>5.82747326</v>
      </c>
    </row>
    <row r="2885" ht="25.5" customHeight="1">
      <c r="A2885" s="4" t="s">
        <v>4742</v>
      </c>
      <c r="B2885" s="8"/>
      <c r="C2885" s="6" t="s">
        <v>4743</v>
      </c>
      <c r="D2885" s="12">
        <f>D2910</f>
        <v>0</v>
      </c>
    </row>
    <row r="2886" ht="25.5" customHeight="1">
      <c r="A2886" s="4" t="s">
        <v>4744</v>
      </c>
      <c r="B2886" s="8"/>
      <c r="C2886" s="6" t="s">
        <v>4745</v>
      </c>
      <c r="D2886" s="12">
        <f>D2910</f>
        <v>0</v>
      </c>
    </row>
    <row r="2887" ht="25.5" customHeight="1">
      <c r="A2887" s="4" t="s">
        <v>4746</v>
      </c>
      <c r="B2887" s="8"/>
      <c r="C2887" s="6" t="s">
        <v>4747</v>
      </c>
      <c r="D2887" s="12">
        <f>D2869</f>
        <v>7.634115226</v>
      </c>
    </row>
    <row r="2888" ht="25.5" customHeight="1">
      <c r="A2888" s="4" t="s">
        <v>4748</v>
      </c>
      <c r="B2888" s="8"/>
      <c r="C2888" s="6" t="s">
        <v>4749</v>
      </c>
      <c r="D2888" s="12">
        <f>D2859</f>
        <v>0</v>
      </c>
    </row>
    <row r="2889" ht="25.5" customHeight="1">
      <c r="A2889" s="4" t="s">
        <v>4750</v>
      </c>
      <c r="B2889" s="8"/>
      <c r="C2889" s="6" t="s">
        <v>2915</v>
      </c>
      <c r="D2889" s="12">
        <f>D2903+(((D434-D2903)/29)*3)</f>
        <v>1.392413793</v>
      </c>
    </row>
    <row r="2890" ht="25.5" customHeight="1">
      <c r="A2890" s="4" t="s">
        <v>4751</v>
      </c>
      <c r="B2890" s="8"/>
      <c r="C2890" s="6" t="s">
        <v>2061</v>
      </c>
      <c r="D2890" s="12">
        <f>AVERAGE(D2846,D2874)</f>
        <v>0</v>
      </c>
    </row>
    <row r="2891" ht="25.5" customHeight="1">
      <c r="A2891" s="4" t="s">
        <v>4752</v>
      </c>
      <c r="B2891" s="8"/>
      <c r="C2891" s="6" t="s">
        <v>169</v>
      </c>
      <c r="D2891" s="12">
        <f>D1216+(((D2941-D1216)/11)*9)</f>
        <v>11.06758621</v>
      </c>
    </row>
    <row r="2892" ht="25.5" customHeight="1">
      <c r="A2892" s="4" t="s">
        <v>4753</v>
      </c>
      <c r="B2892" s="8"/>
      <c r="C2892" s="6" t="s">
        <v>1886</v>
      </c>
      <c r="D2892" s="12">
        <f>AVERAGE(D2811,D2818,D2918)</f>
        <v>10.78399234</v>
      </c>
    </row>
    <row r="2893" ht="25.5" customHeight="1">
      <c r="A2893" s="4" t="s">
        <v>4754</v>
      </c>
      <c r="B2893" s="8"/>
      <c r="C2893" s="6" t="s">
        <v>4755</v>
      </c>
      <c r="D2893" s="12">
        <f>D2868</f>
        <v>0</v>
      </c>
    </row>
    <row r="2894" ht="25.5" customHeight="1">
      <c r="A2894" s="4" t="s">
        <v>4756</v>
      </c>
      <c r="B2894" s="8"/>
      <c r="C2894" s="6" t="s">
        <v>4757</v>
      </c>
      <c r="D2894" s="12">
        <f>D2873</f>
        <v>0</v>
      </c>
    </row>
    <row r="2895" ht="25.5" customHeight="1">
      <c r="A2895" s="4" t="s">
        <v>4758</v>
      </c>
      <c r="B2895" s="8"/>
      <c r="C2895" s="6" t="s">
        <v>2066</v>
      </c>
      <c r="D2895" s="12">
        <f>D2865</f>
        <v>0</v>
      </c>
    </row>
    <row r="2896" ht="25.5" customHeight="1">
      <c r="A2896" s="4" t="s">
        <v>4759</v>
      </c>
      <c r="B2896" s="8"/>
      <c r="C2896" s="6" t="s">
        <v>2925</v>
      </c>
      <c r="D2896" s="12">
        <f>D2810</f>
        <v>0</v>
      </c>
    </row>
    <row r="2897" ht="25.5" customHeight="1">
      <c r="A2897" s="4" t="s">
        <v>4760</v>
      </c>
      <c r="B2897" s="8"/>
      <c r="C2897" s="6" t="s">
        <v>3812</v>
      </c>
      <c r="D2897" s="12">
        <f>D2875</f>
        <v>0</v>
      </c>
    </row>
    <row r="2898" ht="25.5" customHeight="1">
      <c r="A2898" s="4" t="s">
        <v>4761</v>
      </c>
      <c r="B2898" s="8"/>
      <c r="C2898" s="6" t="s">
        <v>1686</v>
      </c>
      <c r="D2898" s="12">
        <f>D2940</f>
        <v>9.629290032</v>
      </c>
    </row>
    <row r="2899" ht="25.5" customHeight="1">
      <c r="A2899" s="4" t="s">
        <v>4762</v>
      </c>
      <c r="B2899" s="8"/>
      <c r="C2899" s="6" t="s">
        <v>4763</v>
      </c>
      <c r="D2899" s="12">
        <f>AVERAGE(D2814,D2844,D2824)</f>
        <v>1.004722701</v>
      </c>
    </row>
    <row r="2900" ht="25.5" customHeight="1">
      <c r="A2900" s="4" t="s">
        <v>4764</v>
      </c>
      <c r="B2900" s="8"/>
      <c r="C2900" s="6" t="s">
        <v>430</v>
      </c>
      <c r="D2900" s="12">
        <f>AVERAGE(D2840,D2926,D2881,D2811)</f>
        <v>3.810297573</v>
      </c>
    </row>
    <row r="2901" ht="25.5" customHeight="1">
      <c r="A2901" s="4" t="s">
        <v>4765</v>
      </c>
      <c r="B2901" s="8"/>
      <c r="C2901" s="6" t="s">
        <v>1166</v>
      </c>
      <c r="D2901" s="12">
        <f>AVERAGE(D2862,D2919,D2923,D2934)</f>
        <v>9.948353661</v>
      </c>
    </row>
    <row r="2902" ht="25.5" customHeight="1">
      <c r="A2902" s="4" t="s">
        <v>4766</v>
      </c>
      <c r="B2902" s="8"/>
      <c r="C2902" s="6" t="s">
        <v>4767</v>
      </c>
      <c r="D2902" s="12">
        <f>AVERAGE(D2851,D2830,D1743,D1742)</f>
        <v>8.55614304</v>
      </c>
    </row>
    <row r="2903" ht="25.5" customHeight="1">
      <c r="A2903" s="4" t="s">
        <v>4768</v>
      </c>
      <c r="B2903" s="8"/>
      <c r="C2903" s="6" t="s">
        <v>49</v>
      </c>
      <c r="D2903" s="12">
        <f>D2909</f>
        <v>0</v>
      </c>
    </row>
    <row r="2904" ht="25.5" customHeight="1">
      <c r="A2904" s="4" t="s">
        <v>4769</v>
      </c>
      <c r="B2904" s="8"/>
      <c r="C2904" s="6" t="s">
        <v>4770</v>
      </c>
      <c r="D2904" s="12">
        <f>AVERAGE(D2820,D2854,D2869,D1736,D1674)</f>
        <v>7.346159784</v>
      </c>
    </row>
    <row r="2905" ht="25.5" customHeight="1">
      <c r="A2905" s="4" t="s">
        <v>4771</v>
      </c>
      <c r="B2905" s="8"/>
      <c r="C2905" s="6" t="s">
        <v>4772</v>
      </c>
      <c r="D2905" s="12">
        <f>D2942</f>
        <v>0</v>
      </c>
    </row>
    <row r="2906" ht="25.5" customHeight="1">
      <c r="A2906" s="4" t="s">
        <v>4773</v>
      </c>
      <c r="B2906" s="8"/>
      <c r="C2906" s="6" t="s">
        <v>4774</v>
      </c>
      <c r="D2906" s="12">
        <f>D2895</f>
        <v>0</v>
      </c>
    </row>
    <row r="2907" ht="25.5" customHeight="1">
      <c r="A2907" s="4" t="s">
        <v>4775</v>
      </c>
      <c r="B2907" s="8"/>
      <c r="C2907" s="6" t="s">
        <v>4776</v>
      </c>
      <c r="D2907" s="12">
        <f>AVERAGE(D2860,D2835)</f>
        <v>1.160199234</v>
      </c>
    </row>
    <row r="2908" ht="25.5" customHeight="1">
      <c r="A2908" s="4" t="s">
        <v>4777</v>
      </c>
      <c r="B2908" s="8"/>
      <c r="C2908" s="6" t="s">
        <v>4778</v>
      </c>
      <c r="D2908" s="12">
        <f>AVERAGE(D2826,D2841,D2814,D2899,D2882,D2832)</f>
        <v>3.291428358</v>
      </c>
    </row>
    <row r="2909" ht="25.5" customHeight="1">
      <c r="A2909" s="4" t="s">
        <v>4779</v>
      </c>
      <c r="B2909" s="8"/>
      <c r="C2909" s="6" t="s">
        <v>4780</v>
      </c>
      <c r="D2909" s="12">
        <f>D2927+(((D1755-D2927)/13)*7)</f>
        <v>0</v>
      </c>
    </row>
    <row r="2910" ht="25.5" customHeight="1">
      <c r="A2910" s="17" t="s">
        <v>4781</v>
      </c>
      <c r="B2910" s="8"/>
      <c r="C2910" s="6" t="s">
        <v>4782</v>
      </c>
      <c r="D2910" s="7">
        <f>D2270+(((D2927-D2270)/10)*9)</f>
        <v>0</v>
      </c>
    </row>
    <row r="2911" ht="25.5" customHeight="1">
      <c r="A2911" s="4" t="s">
        <v>4783</v>
      </c>
      <c r="B2911" s="8"/>
      <c r="C2911" s="6" t="s">
        <v>307</v>
      </c>
      <c r="D2911" s="12">
        <f>D1216+(((D2941-D1216)/11)*10)</f>
        <v>10.93398467</v>
      </c>
    </row>
    <row r="2912" ht="25.5" customHeight="1">
      <c r="A2912" s="4" t="s">
        <v>4784</v>
      </c>
      <c r="B2912" s="8"/>
      <c r="C2912" s="6" t="s">
        <v>4785</v>
      </c>
      <c r="D2912" s="12">
        <f>D2891</f>
        <v>11.06758621</v>
      </c>
    </row>
    <row r="2913" ht="25.5" customHeight="1">
      <c r="A2913" s="4" t="s">
        <v>4786</v>
      </c>
      <c r="B2913" s="8"/>
      <c r="C2913" s="6" t="s">
        <v>4787</v>
      </c>
      <c r="D2913" s="12">
        <f>AVERAGE(D2901,D2934,D2850,D2840)</f>
        <v>5.784087138</v>
      </c>
    </row>
    <row r="2914" ht="25.5" customHeight="1">
      <c r="A2914" s="4" t="s">
        <v>4788</v>
      </c>
      <c r="B2914" s="8"/>
      <c r="C2914" s="6" t="s">
        <v>975</v>
      </c>
      <c r="D2914" s="12">
        <f>D2927+(((D1755-D2927)/13)*5)</f>
        <v>0</v>
      </c>
    </row>
    <row r="2915" ht="25.5" customHeight="1">
      <c r="A2915" s="4" t="s">
        <v>4789</v>
      </c>
      <c r="B2915" s="8"/>
      <c r="C2915" s="6" t="s">
        <v>4790</v>
      </c>
      <c r="D2915" s="12">
        <f>D2875</f>
        <v>0</v>
      </c>
    </row>
    <row r="2916" ht="25.5" customHeight="1">
      <c r="A2916" s="4" t="s">
        <v>4791</v>
      </c>
      <c r="B2916" s="8"/>
      <c r="C2916" s="6" t="s">
        <v>4792</v>
      </c>
      <c r="D2916" s="12">
        <f>D2917</f>
        <v>11.20118774</v>
      </c>
    </row>
    <row r="2917" ht="25.5" customHeight="1">
      <c r="A2917" s="4" t="s">
        <v>4793</v>
      </c>
      <c r="B2917" s="8"/>
      <c r="C2917" s="6" t="s">
        <v>4794</v>
      </c>
      <c r="D2917" s="12">
        <f>D1216+(((D2941-D1216)/11)*8)</f>
        <v>11.20118774</v>
      </c>
    </row>
    <row r="2918" ht="25.5" customHeight="1">
      <c r="A2918" s="4" t="s">
        <v>4795</v>
      </c>
      <c r="B2918" s="8"/>
      <c r="C2918" s="6" t="s">
        <v>4796</v>
      </c>
      <c r="D2918" s="12">
        <f>D1216+(((D2941-D1216)/11)*6)</f>
        <v>11.4683908</v>
      </c>
    </row>
    <row r="2919" ht="25.5" customHeight="1">
      <c r="A2919" s="4" t="s">
        <v>4797</v>
      </c>
      <c r="B2919" s="8"/>
      <c r="C2919" s="6" t="s">
        <v>2947</v>
      </c>
      <c r="D2919" s="12">
        <f>D1216+(((D2941-D1216)/11)*4)</f>
        <v>11.73559387</v>
      </c>
    </row>
    <row r="2920" ht="25.5" customHeight="1">
      <c r="A2920" s="4" t="s">
        <v>4798</v>
      </c>
      <c r="B2920" s="8"/>
      <c r="C2920" s="6" t="s">
        <v>181</v>
      </c>
      <c r="D2920" s="12">
        <f>AVERAGE(D2935,D2924)</f>
        <v>9.92206331</v>
      </c>
    </row>
    <row r="2921" ht="25.5" customHeight="1">
      <c r="A2921" s="4" t="s">
        <v>4799</v>
      </c>
      <c r="B2921" s="8"/>
      <c r="C2921" s="6" t="s">
        <v>3252</v>
      </c>
      <c r="D2921" s="12">
        <f>D2917</f>
        <v>11.20118774</v>
      </c>
    </row>
    <row r="2922" ht="25.5" customHeight="1">
      <c r="A2922" s="4" t="s">
        <v>4800</v>
      </c>
      <c r="B2922" s="8"/>
      <c r="C2922" s="6" t="s">
        <v>312</v>
      </c>
      <c r="D2922" s="12">
        <f>AVERAGE(D2513,D2935)</f>
        <v>9.336516755</v>
      </c>
    </row>
    <row r="2923" ht="25.5" customHeight="1">
      <c r="A2923" s="4" t="s">
        <v>4801</v>
      </c>
      <c r="B2923" s="8"/>
      <c r="C2923" s="6" t="s">
        <v>4802</v>
      </c>
      <c r="D2923" s="12">
        <f>D1216+(((D2941-D1216)/11)*3)</f>
        <v>11.8691954</v>
      </c>
    </row>
    <row r="2924" ht="25.5" customHeight="1">
      <c r="A2924" s="4" t="s">
        <v>4803</v>
      </c>
      <c r="B2924" s="8"/>
      <c r="C2924" s="6" t="s">
        <v>4804</v>
      </c>
      <c r="D2924" s="12">
        <f>D2476+(((D2941-D2476)/7)*6)</f>
        <v>10.21483659</v>
      </c>
    </row>
    <row r="2925" ht="25.5" customHeight="1">
      <c r="A2925" s="4" t="s">
        <v>4805</v>
      </c>
      <c r="B2925" s="8"/>
      <c r="C2925" s="6" t="s">
        <v>4806</v>
      </c>
      <c r="D2925" s="12">
        <f>AVERAGE(D2863,D2931,D2930,D2929,D1723)</f>
        <v>0</v>
      </c>
    </row>
    <row r="2926" ht="25.5" customHeight="1">
      <c r="A2926" s="4" t="s">
        <v>4807</v>
      </c>
      <c r="B2926" s="8"/>
      <c r="C2926" s="6" t="s">
        <v>4808</v>
      </c>
      <c r="D2926" s="12">
        <f>D2927+(((D1755-D2927)/13)*1)</f>
        <v>0</v>
      </c>
    </row>
    <row r="2927" ht="25.5" customHeight="1">
      <c r="A2927" s="4" t="s">
        <v>4809</v>
      </c>
      <c r="B2927" s="8"/>
      <c r="C2927" s="9" t="s">
        <v>1729</v>
      </c>
      <c r="D2927" s="12">
        <v>0.0</v>
      </c>
      <c r="E2927" s="10" t="s">
        <v>4810</v>
      </c>
    </row>
    <row r="2928" ht="25.5" customHeight="1">
      <c r="A2928" s="4" t="s">
        <v>4811</v>
      </c>
      <c r="B2928" s="8"/>
      <c r="C2928" s="6" t="s">
        <v>4812</v>
      </c>
      <c r="D2928" s="12">
        <f>D2818</f>
        <v>11.60199234</v>
      </c>
    </row>
    <row r="2929" ht="25.5" customHeight="1">
      <c r="A2929" s="4" t="s">
        <v>4813</v>
      </c>
      <c r="B2929" s="8"/>
      <c r="C2929" s="6" t="s">
        <v>2069</v>
      </c>
      <c r="D2929" s="12">
        <f>D2834</f>
        <v>0</v>
      </c>
    </row>
    <row r="2930" ht="25.5" customHeight="1">
      <c r="A2930" s="4" t="s">
        <v>4814</v>
      </c>
      <c r="B2930" s="8"/>
      <c r="C2930" s="6" t="s">
        <v>2959</v>
      </c>
      <c r="D2930" s="12">
        <f>AVERAGE(D2909,D2931)</f>
        <v>0</v>
      </c>
    </row>
    <row r="2931" ht="25.5" customHeight="1">
      <c r="A2931" s="4" t="s">
        <v>4815</v>
      </c>
      <c r="B2931" s="8"/>
      <c r="C2931" s="6" t="s">
        <v>645</v>
      </c>
      <c r="D2931" s="12">
        <f>D2927+(((D1755-D2927)/13)*8)</f>
        <v>0</v>
      </c>
    </row>
    <row r="2932" ht="25.5" customHeight="1">
      <c r="A2932" s="4" t="s">
        <v>4816</v>
      </c>
      <c r="B2932" s="8"/>
      <c r="C2932" s="6" t="s">
        <v>1423</v>
      </c>
      <c r="D2932" s="12">
        <f>AVERAGE(D2924,D2821,D3095)</f>
        <v>11.37286379</v>
      </c>
    </row>
    <row r="2933" ht="25.5" customHeight="1">
      <c r="A2933" s="4" t="s">
        <v>4817</v>
      </c>
      <c r="B2933" s="8"/>
      <c r="C2933" s="6" t="s">
        <v>4818</v>
      </c>
      <c r="D2933" s="12">
        <f>D2895</f>
        <v>0</v>
      </c>
    </row>
    <row r="2934" ht="25.5" customHeight="1">
      <c r="A2934" s="4" t="s">
        <v>4819</v>
      </c>
      <c r="B2934" s="8"/>
      <c r="C2934" s="6" t="s">
        <v>1025</v>
      </c>
      <c r="D2934" s="12">
        <f>D2923+(((D2910-D2923)/3)*1)</f>
        <v>7.912796935</v>
      </c>
    </row>
    <row r="2935" ht="25.5" customHeight="1">
      <c r="A2935" s="4" t="s">
        <v>4820</v>
      </c>
      <c r="B2935" s="8"/>
      <c r="C2935" s="6" t="s">
        <v>197</v>
      </c>
      <c r="D2935" s="12">
        <f>D2476+(((D2941-D2476)/7)*5)</f>
        <v>9.629290032</v>
      </c>
    </row>
    <row r="2936" ht="25.5" customHeight="1">
      <c r="A2936" s="4" t="s">
        <v>4821</v>
      </c>
      <c r="B2936" s="8"/>
      <c r="C2936" s="6" t="s">
        <v>4822</v>
      </c>
      <c r="D2936" s="12">
        <f>D2818</f>
        <v>11.60199234</v>
      </c>
    </row>
    <row r="2937" ht="25.5" customHeight="1">
      <c r="A2937" s="4" t="s">
        <v>4823</v>
      </c>
      <c r="B2937" s="8"/>
      <c r="C2937" s="6" t="s">
        <v>3835</v>
      </c>
      <c r="D2937" s="12">
        <f>D2875</f>
        <v>0</v>
      </c>
    </row>
    <row r="2938" ht="25.5" customHeight="1">
      <c r="A2938" s="4" t="s">
        <v>4824</v>
      </c>
      <c r="B2938" s="8"/>
      <c r="C2938" s="6" t="s">
        <v>3918</v>
      </c>
      <c r="D2938" s="12">
        <f>D2942</f>
        <v>0</v>
      </c>
    </row>
    <row r="2939" ht="25.5" customHeight="1">
      <c r="A2939" s="4" t="s">
        <v>4825</v>
      </c>
      <c r="B2939" s="8"/>
      <c r="C2939" s="6" t="s">
        <v>4826</v>
      </c>
      <c r="D2939" s="12">
        <f>D2855</f>
        <v>12.00279693</v>
      </c>
    </row>
    <row r="2940" ht="25.5" customHeight="1">
      <c r="A2940" s="4" t="s">
        <v>4827</v>
      </c>
      <c r="B2940" s="8"/>
      <c r="C2940" s="6" t="s">
        <v>4565</v>
      </c>
      <c r="D2940" s="12">
        <f>AVERAGE(D2920,D2922)</f>
        <v>9.629290032</v>
      </c>
    </row>
    <row r="2941" ht="25.5" customHeight="1">
      <c r="A2941" s="4" t="s">
        <v>4828</v>
      </c>
      <c r="B2941" s="8"/>
      <c r="C2941" s="6" t="s">
        <v>4829</v>
      </c>
      <c r="D2941" s="12">
        <f>D2123+(((D1717-D2123)/18)*13)</f>
        <v>10.80038314</v>
      </c>
    </row>
    <row r="2942" ht="25.5" customHeight="1">
      <c r="A2942" s="4" t="s">
        <v>4830</v>
      </c>
      <c r="B2942" s="18"/>
      <c r="C2942" s="6" t="s">
        <v>2145</v>
      </c>
      <c r="D2942" s="12">
        <f>D2873</f>
        <v>0</v>
      </c>
    </row>
    <row r="2943" ht="25.5" customHeight="1">
      <c r="A2943" s="4" t="s">
        <v>4831</v>
      </c>
      <c r="B2943" s="5" t="s">
        <v>4832</v>
      </c>
      <c r="C2943" s="6" t="s">
        <v>4833</v>
      </c>
      <c r="D2943" s="12">
        <f>AVERAGE(D2946,D2954,D2000)</f>
        <v>16.51166667</v>
      </c>
    </row>
    <row r="2944" ht="25.5" customHeight="1">
      <c r="A2944" s="4" t="s">
        <v>4834</v>
      </c>
      <c r="B2944" s="8"/>
      <c r="C2944" s="6" t="s">
        <v>4835</v>
      </c>
      <c r="D2944" s="12">
        <f>AVERAGE(D2029,D2041)+(((D2955-AVERAGE(D2029,D2041))/3)*2)</f>
        <v>13.0476291</v>
      </c>
    </row>
    <row r="2945" ht="25.5" customHeight="1">
      <c r="A2945" s="4" t="s">
        <v>4836</v>
      </c>
      <c r="B2945" s="8"/>
      <c r="C2945" s="6" t="s">
        <v>4837</v>
      </c>
      <c r="D2945" s="12">
        <f>AVERAGE(D2954,D2951,D1908)</f>
        <v>6.641952381</v>
      </c>
    </row>
    <row r="2946" ht="25.5" customHeight="1">
      <c r="A2946" s="4" t="s">
        <v>4838</v>
      </c>
      <c r="B2946" s="8"/>
      <c r="C2946" s="9" t="s">
        <v>4839</v>
      </c>
      <c r="D2946" s="12">
        <v>21.79</v>
      </c>
      <c r="E2946" s="10" t="s">
        <v>4840</v>
      </c>
    </row>
    <row r="2947" ht="25.5" customHeight="1">
      <c r="A2947" s="4" t="s">
        <v>4841</v>
      </c>
      <c r="B2947" s="8"/>
      <c r="C2947" s="6" t="s">
        <v>2054</v>
      </c>
      <c r="D2947" s="12">
        <f>AVERAGE(D2952,D2945,D1908)</f>
        <v>6.679015873</v>
      </c>
    </row>
    <row r="2948" ht="25.5" customHeight="1">
      <c r="A2948" s="4" t="s">
        <v>4842</v>
      </c>
      <c r="B2948" s="8"/>
      <c r="C2948" s="6" t="s">
        <v>126</v>
      </c>
      <c r="D2948" s="12">
        <f>D2946</f>
        <v>21.79</v>
      </c>
    </row>
    <row r="2949" ht="25.5" customHeight="1">
      <c r="A2949" s="4" t="s">
        <v>4843</v>
      </c>
      <c r="B2949" s="8"/>
      <c r="C2949" s="6" t="s">
        <v>4844</v>
      </c>
      <c r="D2949" s="12">
        <f>D2946</f>
        <v>21.79</v>
      </c>
    </row>
    <row r="2950" ht="25.5" customHeight="1">
      <c r="A2950" s="4" t="s">
        <v>4845</v>
      </c>
      <c r="B2950" s="8"/>
      <c r="C2950" s="6" t="s">
        <v>4846</v>
      </c>
      <c r="D2950" s="12">
        <f>AVERAGE(D2946,D2954)</f>
        <v>14.1715</v>
      </c>
    </row>
    <row r="2951" ht="25.5" customHeight="1">
      <c r="A2951" s="4" t="s">
        <v>4847</v>
      </c>
      <c r="B2951" s="8"/>
      <c r="C2951" s="6" t="s">
        <v>430</v>
      </c>
      <c r="D2951" s="12">
        <f>D2954+(((D1911-D2954)/7)*1)</f>
        <v>6.619714286</v>
      </c>
    </row>
    <row r="2952" ht="25.5" customHeight="1">
      <c r="A2952" s="4" t="s">
        <v>4848</v>
      </c>
      <c r="B2952" s="8"/>
      <c r="C2952" s="6" t="s">
        <v>1992</v>
      </c>
      <c r="D2952" s="12">
        <f>D2945</f>
        <v>6.641952381</v>
      </c>
    </row>
    <row r="2953" ht="25.5" customHeight="1">
      <c r="A2953" s="4" t="s">
        <v>4849</v>
      </c>
      <c r="B2953" s="8"/>
      <c r="C2953" s="6" t="s">
        <v>4850</v>
      </c>
      <c r="D2953" s="12">
        <f>AVERAGE(D2954,D2956)</f>
        <v>6.619714286</v>
      </c>
    </row>
    <row r="2954" ht="25.5" customHeight="1">
      <c r="A2954" s="4" t="s">
        <v>4851</v>
      </c>
      <c r="B2954" s="8"/>
      <c r="C2954" s="9" t="s">
        <v>197</v>
      </c>
      <c r="D2954" s="12">
        <v>6.553</v>
      </c>
      <c r="E2954" s="10" t="s">
        <v>4852</v>
      </c>
    </row>
    <row r="2955" ht="25.5" customHeight="1">
      <c r="A2955" s="4" t="s">
        <v>4853</v>
      </c>
      <c r="B2955" s="8"/>
      <c r="C2955" s="6" t="s">
        <v>4854</v>
      </c>
      <c r="D2955" s="12">
        <f>D2956+(((D315-D2956)/6)*1)</f>
        <v>9.199693651</v>
      </c>
    </row>
    <row r="2956" ht="25.5" customHeight="1">
      <c r="A2956" s="4" t="s">
        <v>4855</v>
      </c>
      <c r="B2956" s="11"/>
      <c r="C2956" s="6" t="s">
        <v>4856</v>
      </c>
      <c r="D2956" s="12">
        <f>D2954+(((D1911-D2954)/7)*2)</f>
        <v>6.686428571</v>
      </c>
    </row>
    <row r="2957" ht="25.5" customHeight="1">
      <c r="A2957" s="4" t="s">
        <v>4857</v>
      </c>
      <c r="B2957" s="5" t="s">
        <v>4858</v>
      </c>
      <c r="C2957" s="6" t="s">
        <v>499</v>
      </c>
      <c r="D2957" s="12">
        <f>D2973+(((D681-D2973)/6)*3)</f>
        <v>1.0105</v>
      </c>
    </row>
    <row r="2958" ht="25.5" customHeight="1">
      <c r="A2958" s="4" t="s">
        <v>4859</v>
      </c>
      <c r="B2958" s="8"/>
      <c r="C2958" s="6" t="s">
        <v>4860</v>
      </c>
      <c r="D2958" s="12">
        <f>AVERAGE(D2994,D2243)</f>
        <v>7.337583333</v>
      </c>
    </row>
    <row r="2959" ht="25.5" customHeight="1">
      <c r="A2959" s="4" t="s">
        <v>4861</v>
      </c>
      <c r="B2959" s="8"/>
      <c r="C2959" s="6" t="s">
        <v>210</v>
      </c>
      <c r="D2959" s="12">
        <f>D2975+(((D2241-D2975)/3)*2)</f>
        <v>7.883611111</v>
      </c>
    </row>
    <row r="2960" ht="25.5" customHeight="1">
      <c r="A2960" s="4" t="s">
        <v>4862</v>
      </c>
      <c r="B2960" s="8"/>
      <c r="C2960" s="6" t="s">
        <v>4863</v>
      </c>
      <c r="D2960" s="12">
        <f>AVERAGE(D2985,D2987,D2973,D2975)</f>
        <v>0.1442083333</v>
      </c>
    </row>
    <row r="2961" ht="25.5" customHeight="1">
      <c r="A2961" s="4" t="s">
        <v>4864</v>
      </c>
      <c r="B2961" s="8"/>
      <c r="C2961" s="6" t="s">
        <v>4865</v>
      </c>
      <c r="D2961" s="12">
        <f>D2972</f>
        <v>0.144</v>
      </c>
    </row>
    <row r="2962" ht="25.5" customHeight="1">
      <c r="A2962" s="4" t="s">
        <v>4866</v>
      </c>
      <c r="B2962" s="8"/>
      <c r="C2962" s="6" t="s">
        <v>222</v>
      </c>
      <c r="D2962" s="7">
        <f>D245+(((D2987-D245)/20)*14)</f>
        <v>0.864</v>
      </c>
    </row>
    <row r="2963" ht="25.5" customHeight="1">
      <c r="A2963" s="4" t="s">
        <v>4867</v>
      </c>
      <c r="B2963" s="8"/>
      <c r="C2963" s="6" t="s">
        <v>228</v>
      </c>
      <c r="D2963" s="12">
        <f>AVERAGE(D2994,D2992,D2243)</f>
        <v>8.140490741</v>
      </c>
    </row>
    <row r="2964" ht="25.5" customHeight="1">
      <c r="A2964" s="4" t="s">
        <v>4868</v>
      </c>
      <c r="B2964" s="8"/>
      <c r="C2964" s="6" t="s">
        <v>4869</v>
      </c>
      <c r="D2964" s="7">
        <f>D245+(((D2987-D245)/20)*15)</f>
        <v>0.72</v>
      </c>
    </row>
    <row r="2965" ht="25.5" customHeight="1">
      <c r="A2965" s="4" t="s">
        <v>4870</v>
      </c>
      <c r="B2965" s="8"/>
      <c r="C2965" s="6" t="s">
        <v>535</v>
      </c>
      <c r="D2965" s="12">
        <f>AVERAGE(D2975,D2969)</f>
        <v>0.57725</v>
      </c>
    </row>
    <row r="2966" ht="25.5" customHeight="1">
      <c r="A2966" s="4" t="s">
        <v>4871</v>
      </c>
      <c r="B2966" s="8"/>
      <c r="C2966" s="6" t="s">
        <v>4872</v>
      </c>
      <c r="D2966" s="12">
        <f>D2978</f>
        <v>1.299333333</v>
      </c>
    </row>
    <row r="2967" ht="25.5" customHeight="1">
      <c r="A2967" s="4" t="s">
        <v>4873</v>
      </c>
      <c r="B2967" s="8"/>
      <c r="C2967" s="6" t="s">
        <v>126</v>
      </c>
      <c r="D2967" s="12">
        <f>AVERAGE(D2957,D2969,D2959)</f>
        <v>3.205259259</v>
      </c>
    </row>
    <row r="2968" ht="25.5" customHeight="1">
      <c r="A2968" s="4" t="s">
        <v>4874</v>
      </c>
      <c r="B2968" s="8"/>
      <c r="C2968" s="6" t="s">
        <v>545</v>
      </c>
      <c r="D2968" s="12">
        <f>AVERAGE(D2994,D2243)</f>
        <v>7.337583333</v>
      </c>
    </row>
    <row r="2969" ht="25.5" customHeight="1">
      <c r="A2969" s="4" t="s">
        <v>4875</v>
      </c>
      <c r="B2969" s="8"/>
      <c r="C2969" s="6" t="s">
        <v>252</v>
      </c>
      <c r="D2969" s="12">
        <f>D2973+(((D681-D2973)/6)*2)</f>
        <v>0.7216666667</v>
      </c>
    </row>
    <row r="2970" ht="25.5" customHeight="1">
      <c r="A2970" s="4" t="s">
        <v>4876</v>
      </c>
      <c r="B2970" s="8"/>
      <c r="C2970" s="6" t="s">
        <v>4877</v>
      </c>
      <c r="D2970" s="12">
        <f>D2990</f>
        <v>0.432</v>
      </c>
    </row>
    <row r="2971" ht="25.5" customHeight="1">
      <c r="A2971" s="4" t="s">
        <v>4878</v>
      </c>
      <c r="B2971" s="8"/>
      <c r="C2971" s="6" t="s">
        <v>4879</v>
      </c>
      <c r="D2971" s="12">
        <f>D2987</f>
        <v>0</v>
      </c>
    </row>
    <row r="2972" ht="25.5" customHeight="1">
      <c r="A2972" s="4" t="s">
        <v>4880</v>
      </c>
      <c r="B2972" s="8"/>
      <c r="C2972" s="6" t="s">
        <v>140</v>
      </c>
      <c r="D2972" s="12">
        <f>D2974</f>
        <v>0.144</v>
      </c>
    </row>
    <row r="2973" ht="25.5" customHeight="1">
      <c r="A2973" s="4" t="s">
        <v>4881</v>
      </c>
      <c r="B2973" s="8"/>
      <c r="C2973" s="6" t="s">
        <v>4374</v>
      </c>
      <c r="D2973" s="7">
        <f>D245+(((D2987-D245)/20)*19)</f>
        <v>0.144</v>
      </c>
    </row>
    <row r="2974" ht="25.5" customHeight="1">
      <c r="A2974" s="4" t="s">
        <v>4882</v>
      </c>
      <c r="B2974" s="8"/>
      <c r="C2974" s="6" t="s">
        <v>4883</v>
      </c>
      <c r="D2974" s="12">
        <f>D2973</f>
        <v>0.144</v>
      </c>
    </row>
    <row r="2975" ht="25.5" customHeight="1">
      <c r="A2975" s="4" t="s">
        <v>4884</v>
      </c>
      <c r="B2975" s="8"/>
      <c r="C2975" s="6" t="s">
        <v>4885</v>
      </c>
      <c r="D2975" s="12">
        <f>D2973+(((D681-D2973)/6)*1)</f>
        <v>0.4328333333</v>
      </c>
    </row>
    <row r="2976" ht="25.5" customHeight="1">
      <c r="A2976" s="4" t="s">
        <v>4886</v>
      </c>
      <c r="B2976" s="8"/>
      <c r="C2976" s="6" t="s">
        <v>4887</v>
      </c>
      <c r="D2976" s="12">
        <f>AVERAGE(D2995,D2959,D2236,D2222,D2239,D2244,D2225)</f>
        <v>6.226333333</v>
      </c>
    </row>
    <row r="2977" ht="25.5" customHeight="1">
      <c r="A2977" s="4" t="s">
        <v>4888</v>
      </c>
      <c r="B2977" s="8"/>
      <c r="C2977" s="6" t="s">
        <v>1265</v>
      </c>
      <c r="D2977" s="7">
        <f>D245+(((D2987-D245)/20)*16)</f>
        <v>0.576</v>
      </c>
    </row>
    <row r="2978" ht="25.5" customHeight="1">
      <c r="A2978" s="4" t="s">
        <v>4889</v>
      </c>
      <c r="B2978" s="8"/>
      <c r="C2978" s="6" t="s">
        <v>273</v>
      </c>
      <c r="D2978" s="12">
        <f>D2973+(((D681-D2973)/6)*4)</f>
        <v>1.299333333</v>
      </c>
    </row>
    <row r="2979" ht="25.5" customHeight="1">
      <c r="A2979" s="4" t="s">
        <v>4890</v>
      </c>
      <c r="B2979" s="8"/>
      <c r="C2979" s="6" t="s">
        <v>1378</v>
      </c>
      <c r="D2979" s="12">
        <f>D2983</f>
        <v>0.288</v>
      </c>
    </row>
    <row r="2980" ht="25.5" customHeight="1">
      <c r="A2980" s="4" t="s">
        <v>4891</v>
      </c>
      <c r="B2980" s="8"/>
      <c r="C2980" s="6" t="s">
        <v>4892</v>
      </c>
      <c r="D2980" s="12">
        <f>AVERAGE(D2993,D2985,D2978)</f>
        <v>0.4331111111</v>
      </c>
    </row>
    <row r="2981" ht="25.5" customHeight="1">
      <c r="A2981" s="4" t="s">
        <v>4893</v>
      </c>
      <c r="B2981" s="8"/>
      <c r="C2981" s="6" t="s">
        <v>4894</v>
      </c>
      <c r="D2981" s="12">
        <f>D2977</f>
        <v>0.576</v>
      </c>
    </row>
    <row r="2982" ht="25.5" customHeight="1">
      <c r="A2982" s="4" t="s">
        <v>4895</v>
      </c>
      <c r="B2982" s="8"/>
      <c r="C2982" s="6" t="s">
        <v>4896</v>
      </c>
      <c r="D2982" s="12">
        <f>AVERAGE(D2988)</f>
        <v>1.588166667</v>
      </c>
    </row>
    <row r="2983" ht="25.5" customHeight="1">
      <c r="A2983" s="4" t="s">
        <v>4897</v>
      </c>
      <c r="B2983" s="8"/>
      <c r="C2983" s="6" t="s">
        <v>964</v>
      </c>
      <c r="D2983" s="7">
        <f>D245+(((D2987-D245)/20)*18)</f>
        <v>0.288</v>
      </c>
    </row>
    <row r="2984" ht="25.5" customHeight="1">
      <c r="A2984" s="4" t="s">
        <v>4898</v>
      </c>
      <c r="B2984" s="8"/>
      <c r="C2984" s="6" t="s">
        <v>604</v>
      </c>
      <c r="D2984" s="12">
        <f>D2987</f>
        <v>0</v>
      </c>
    </row>
    <row r="2985" ht="25.5" customHeight="1">
      <c r="A2985" s="4" t="s">
        <v>4899</v>
      </c>
      <c r="B2985" s="8"/>
      <c r="C2985" s="6" t="s">
        <v>4900</v>
      </c>
      <c r="D2985" s="12">
        <f>D2987</f>
        <v>0</v>
      </c>
    </row>
    <row r="2986" ht="25.5" customHeight="1">
      <c r="A2986" s="4" t="s">
        <v>4901</v>
      </c>
      <c r="B2986" s="8"/>
      <c r="C2986" s="6" t="s">
        <v>4902</v>
      </c>
      <c r="D2986" s="12">
        <f>AVERAGE(D2977,D2964,D2962,D2237,D2225,D2995)</f>
        <v>1.683509259</v>
      </c>
    </row>
    <row r="2987" ht="25.5" customHeight="1">
      <c r="A2987" s="4" t="s">
        <v>4903</v>
      </c>
      <c r="B2987" s="8"/>
      <c r="C2987" s="9" t="s">
        <v>4904</v>
      </c>
      <c r="D2987" s="12">
        <v>0.0</v>
      </c>
      <c r="E2987" s="10" t="s">
        <v>4904</v>
      </c>
    </row>
    <row r="2988" ht="25.5" customHeight="1">
      <c r="A2988" s="4" t="s">
        <v>4905</v>
      </c>
      <c r="B2988" s="8"/>
      <c r="C2988" s="6" t="s">
        <v>4906</v>
      </c>
      <c r="D2988" s="12">
        <f>D2973+(((D681-D2973)/6)*5)</f>
        <v>1.588166667</v>
      </c>
    </row>
    <row r="2989" ht="25.5" customHeight="1">
      <c r="A2989" s="4" t="s">
        <v>4907</v>
      </c>
      <c r="B2989" s="8"/>
      <c r="C2989" s="6" t="s">
        <v>1733</v>
      </c>
      <c r="D2989" s="12">
        <f>AVERAGE(D2978,D2988)</f>
        <v>1.44375</v>
      </c>
    </row>
    <row r="2990" ht="25.5" customHeight="1">
      <c r="A2990" s="4" t="s">
        <v>4908</v>
      </c>
      <c r="B2990" s="8"/>
      <c r="C2990" s="6" t="s">
        <v>3196</v>
      </c>
      <c r="D2990" s="7">
        <f>D245+(((D2987-D245)/20)*17)</f>
        <v>0.432</v>
      </c>
    </row>
    <row r="2991" ht="25.5" customHeight="1">
      <c r="A2991" s="4" t="s">
        <v>4909</v>
      </c>
      <c r="B2991" s="8"/>
      <c r="C2991" s="6" t="s">
        <v>4910</v>
      </c>
      <c r="D2991" s="12">
        <f>D2964</f>
        <v>0.72</v>
      </c>
    </row>
    <row r="2992" ht="25.5" customHeight="1">
      <c r="A2992" s="4" t="s">
        <v>4911</v>
      </c>
      <c r="B2992" s="8"/>
      <c r="C2992" s="6" t="s">
        <v>4912</v>
      </c>
      <c r="D2992" s="12">
        <f>AVERAGE(D2959,D2241)</f>
        <v>9.746305556</v>
      </c>
    </row>
    <row r="2993" ht="25.5" customHeight="1">
      <c r="A2993" s="4" t="s">
        <v>4913</v>
      </c>
      <c r="B2993" s="8"/>
      <c r="C2993" s="6" t="s">
        <v>4914</v>
      </c>
      <c r="D2993" s="12">
        <f>D2987</f>
        <v>0</v>
      </c>
    </row>
    <row r="2994" ht="25.5" customHeight="1">
      <c r="A2994" s="4" t="s">
        <v>4915</v>
      </c>
      <c r="B2994" s="8"/>
      <c r="C2994" s="6" t="s">
        <v>4916</v>
      </c>
      <c r="D2994" s="12">
        <f>AVERAGE(D2988,D2978,D2957)</f>
        <v>1.299333333</v>
      </c>
    </row>
    <row r="2995" ht="25.5" customHeight="1">
      <c r="A2995" s="4" t="s">
        <v>4917</v>
      </c>
      <c r="B2995" s="11"/>
      <c r="C2995" s="6" t="s">
        <v>4918</v>
      </c>
      <c r="D2995" s="12">
        <f>D2975+(((D2241-D2975)/3)*1)</f>
        <v>4.158222222</v>
      </c>
    </row>
    <row r="2996" ht="25.5" customHeight="1">
      <c r="A2996" s="4" t="s">
        <v>4919</v>
      </c>
      <c r="B2996" s="5" t="s">
        <v>4920</v>
      </c>
      <c r="C2996" s="6" t="s">
        <v>499</v>
      </c>
      <c r="D2996" s="12">
        <f>AVERAGE(D3024,D3006,D3034,D3065,D3045)</f>
        <v>2.573481143</v>
      </c>
    </row>
    <row r="2997" ht="25.5" customHeight="1">
      <c r="A2997" s="4" t="s">
        <v>4921</v>
      </c>
      <c r="B2997" s="8"/>
      <c r="C2997" s="6" t="s">
        <v>3442</v>
      </c>
      <c r="D2997" s="12">
        <f>D2999</f>
        <v>19.49950381</v>
      </c>
    </row>
    <row r="2998" ht="25.5" customHeight="1">
      <c r="A2998" s="4" t="s">
        <v>4922</v>
      </c>
      <c r="B2998" s="8"/>
      <c r="C2998" s="6" t="s">
        <v>4923</v>
      </c>
      <c r="D2998" s="12">
        <f>D3012</f>
        <v>12.40900762</v>
      </c>
    </row>
    <row r="2999" ht="25.5" customHeight="1">
      <c r="A2999" s="4" t="s">
        <v>4924</v>
      </c>
      <c r="B2999" s="8"/>
      <c r="C2999" s="6" t="s">
        <v>4925</v>
      </c>
      <c r="D2999" s="12">
        <f>D3011</f>
        <v>19.49950381</v>
      </c>
    </row>
    <row r="3000" ht="25.5" customHeight="1">
      <c r="A3000" s="4" t="s">
        <v>4926</v>
      </c>
      <c r="B3000" s="8"/>
      <c r="C3000" s="6" t="s">
        <v>1297</v>
      </c>
      <c r="D3000" s="12">
        <f>AVERAGE(D3063,D3047)</f>
        <v>3.855040714</v>
      </c>
    </row>
    <row r="3001" ht="25.5" customHeight="1">
      <c r="A3001" s="4" t="s">
        <v>4927</v>
      </c>
      <c r="B3001" s="8"/>
      <c r="C3001" s="6" t="s">
        <v>3083</v>
      </c>
      <c r="D3001" s="12">
        <f>AVERAGE(D3013,D1402)</f>
        <v>8.358173016</v>
      </c>
    </row>
    <row r="3002" ht="25.5" customHeight="1">
      <c r="A3002" s="4" t="s">
        <v>4928</v>
      </c>
      <c r="B3002" s="8"/>
      <c r="C3002" s="6" t="s">
        <v>4929</v>
      </c>
      <c r="D3002" s="12">
        <f>AVERAGE(D3011,D1375,D1330)</f>
        <v>19.49950381</v>
      </c>
    </row>
    <row r="3003" ht="25.5" customHeight="1">
      <c r="A3003" s="4" t="s">
        <v>4930</v>
      </c>
      <c r="B3003" s="8"/>
      <c r="C3003" s="6" t="s">
        <v>4931</v>
      </c>
      <c r="D3003" s="12">
        <f>AVERAGE(D3031,D3000)</f>
        <v>3.855040714</v>
      </c>
    </row>
    <row r="3004" ht="25.5" customHeight="1">
      <c r="A3004" s="4" t="s">
        <v>4932</v>
      </c>
      <c r="B3004" s="8"/>
      <c r="C3004" s="6" t="s">
        <v>2176</v>
      </c>
      <c r="D3004" s="12">
        <f>AVERAGE(D3012,D3013)</f>
        <v>11.22725825</v>
      </c>
    </row>
    <row r="3005" ht="25.5" customHeight="1">
      <c r="A3005" s="4" t="s">
        <v>4933</v>
      </c>
      <c r="B3005" s="8"/>
      <c r="C3005" s="6" t="s">
        <v>222</v>
      </c>
      <c r="D3005" s="12">
        <f>AVERAGE(D3013,D3022,D3032)</f>
        <v>5.909173016</v>
      </c>
    </row>
    <row r="3006" ht="25.5" customHeight="1">
      <c r="A3006" s="4" t="s">
        <v>4934</v>
      </c>
      <c r="B3006" s="8"/>
      <c r="C3006" s="6" t="s">
        <v>228</v>
      </c>
      <c r="D3006" s="12">
        <f>D3032+(((D747-D3032)/10)*4)</f>
        <v>3.290022857</v>
      </c>
    </row>
    <row r="3007" ht="25.5" customHeight="1">
      <c r="A3007" s="4" t="s">
        <v>4935</v>
      </c>
      <c r="B3007" s="8"/>
      <c r="C3007" s="6" t="s">
        <v>234</v>
      </c>
      <c r="D3007" s="12">
        <f>AVERAGE(D3058,D3048)</f>
        <v>4.473307857</v>
      </c>
    </row>
    <row r="3008" ht="25.5" customHeight="1">
      <c r="A3008" s="4" t="s">
        <v>4936</v>
      </c>
      <c r="B3008" s="8"/>
      <c r="C3008" s="6" t="s">
        <v>4937</v>
      </c>
      <c r="D3008" s="12">
        <f>D3032+(((D747-D3032)/10)*5)</f>
        <v>4.112528571</v>
      </c>
    </row>
    <row r="3009" ht="25.5" customHeight="1">
      <c r="A3009" s="4" t="s">
        <v>4938</v>
      </c>
      <c r="B3009" s="8"/>
      <c r="C3009" s="6" t="s">
        <v>851</v>
      </c>
      <c r="D3009" s="12">
        <f>AVERAGE(D3006,D3008,D3023,D3063)</f>
        <v>4.009715357</v>
      </c>
    </row>
    <row r="3010" ht="25.5" customHeight="1">
      <c r="A3010" s="4" t="s">
        <v>4939</v>
      </c>
      <c r="B3010" s="8"/>
      <c r="C3010" s="6" t="s">
        <v>4940</v>
      </c>
      <c r="D3010" s="12">
        <f>D3026</f>
        <v>3.855040714</v>
      </c>
    </row>
    <row r="3011" ht="25.5" customHeight="1">
      <c r="A3011" s="4" t="s">
        <v>4941</v>
      </c>
      <c r="B3011" s="8"/>
      <c r="C3011" s="6" t="s">
        <v>535</v>
      </c>
      <c r="D3011" s="12">
        <f>D1379</f>
        <v>19.49950381</v>
      </c>
    </row>
    <row r="3012" ht="25.5" customHeight="1">
      <c r="A3012" s="4" t="s">
        <v>4942</v>
      </c>
      <c r="B3012" s="8"/>
      <c r="C3012" s="6" t="s">
        <v>3005</v>
      </c>
      <c r="D3012" s="12">
        <f>AVERAGE(D1390,D1387)+(((D3037-AVERAGE(D1390,D1387))/9)*6)</f>
        <v>12.40900762</v>
      </c>
    </row>
    <row r="3013" ht="25.5" customHeight="1">
      <c r="A3013" s="4" t="s">
        <v>4943</v>
      </c>
      <c r="B3013" s="8"/>
      <c r="C3013" s="6" t="s">
        <v>4944</v>
      </c>
      <c r="D3013" s="12">
        <f>AVERAGE(D1390,D1387)+(((D3037-AVERAGE(D1390,D1387))/9)*7)</f>
        <v>10.04550889</v>
      </c>
    </row>
    <row r="3014" ht="25.5" customHeight="1">
      <c r="A3014" s="4" t="s">
        <v>4945</v>
      </c>
      <c r="B3014" s="8"/>
      <c r="C3014" s="6" t="s">
        <v>3881</v>
      </c>
      <c r="D3014" s="12">
        <f>AVERAGE(D3016,D3033)</f>
        <v>2.891280536</v>
      </c>
    </row>
    <row r="3015" ht="25.5" customHeight="1">
      <c r="A3015" s="4" t="s">
        <v>4946</v>
      </c>
      <c r="B3015" s="8"/>
      <c r="C3015" s="6" t="s">
        <v>4947</v>
      </c>
      <c r="D3015" s="12">
        <f>AVERAGE(D3054,D3003,D3066,D3019,D3009,D3062)</f>
        <v>3.336956071</v>
      </c>
    </row>
    <row r="3016" ht="25.5" customHeight="1">
      <c r="A3016" s="4" t="s">
        <v>4948</v>
      </c>
      <c r="B3016" s="8"/>
      <c r="C3016" s="6" t="s">
        <v>3778</v>
      </c>
      <c r="D3016" s="12">
        <f>AVERAGE(D3038,D3029)</f>
        <v>1.927520357</v>
      </c>
    </row>
    <row r="3017" ht="25.5" customHeight="1">
      <c r="A3017" s="4" t="s">
        <v>4949</v>
      </c>
      <c r="B3017" s="8"/>
      <c r="C3017" s="6" t="s">
        <v>252</v>
      </c>
      <c r="D3017" s="12">
        <f>AVERAGE(D3048,D3020)</f>
        <v>4.002771429</v>
      </c>
    </row>
    <row r="3018" ht="25.5" customHeight="1">
      <c r="A3018" s="4" t="s">
        <v>4950</v>
      </c>
      <c r="B3018" s="8"/>
      <c r="C3018" s="6" t="s">
        <v>1821</v>
      </c>
      <c r="D3018" s="12">
        <f>AVERAGE(D3008,D3049)</f>
        <v>4.523781429</v>
      </c>
    </row>
    <row r="3019" ht="25.5" customHeight="1">
      <c r="A3019" s="4" t="s">
        <v>4951</v>
      </c>
      <c r="B3019" s="8"/>
      <c r="C3019" s="6" t="s">
        <v>4952</v>
      </c>
      <c r="D3019" s="12">
        <f>AVERAGE(D3065,D3034,D3006)</f>
        <v>2.467517143</v>
      </c>
    </row>
    <row r="3020" ht="25.5" customHeight="1">
      <c r="A3020" s="4" t="s">
        <v>4953</v>
      </c>
      <c r="B3020" s="8"/>
      <c r="C3020" s="6" t="s">
        <v>1127</v>
      </c>
      <c r="D3020" s="12">
        <f>AVERAGE(D3051,D3008)</f>
        <v>4.039357143</v>
      </c>
    </row>
    <row r="3021" ht="25.5" customHeight="1">
      <c r="A3021" s="4" t="s">
        <v>4954</v>
      </c>
      <c r="B3021" s="8"/>
      <c r="C3021" s="6" t="s">
        <v>2210</v>
      </c>
      <c r="D3021" s="12">
        <f>AVERAGE(D2997,D3046)</f>
        <v>9.749751905</v>
      </c>
    </row>
    <row r="3022" ht="25.5" customHeight="1">
      <c r="A3022" s="4" t="s">
        <v>4955</v>
      </c>
      <c r="B3022" s="8"/>
      <c r="C3022" s="6" t="s">
        <v>138</v>
      </c>
      <c r="D3022" s="12">
        <f>AVERAGE(D1390,D1387)+(((D3037-AVERAGE(D1390,D1387))/9)*8)</f>
        <v>7.682010159</v>
      </c>
    </row>
    <row r="3023" ht="25.5" customHeight="1">
      <c r="A3023" s="4" t="s">
        <v>4956</v>
      </c>
      <c r="B3023" s="8"/>
      <c r="C3023" s="6" t="s">
        <v>140</v>
      </c>
      <c r="D3023" s="12">
        <f>D3008</f>
        <v>4.112528571</v>
      </c>
    </row>
    <row r="3024" ht="25.5" customHeight="1">
      <c r="A3024" s="4" t="s">
        <v>4957</v>
      </c>
      <c r="B3024" s="8"/>
      <c r="C3024" s="6" t="s">
        <v>31</v>
      </c>
      <c r="D3024" s="12">
        <f>D1372+(((D3006-D1372)/6)*4)</f>
        <v>4.642348571</v>
      </c>
    </row>
    <row r="3025" ht="25.5" customHeight="1">
      <c r="A3025" s="4" t="s">
        <v>4958</v>
      </c>
      <c r="B3025" s="8"/>
      <c r="C3025" s="6" t="s">
        <v>4959</v>
      </c>
      <c r="D3025" s="7">
        <f>D713</f>
        <v>3.1863</v>
      </c>
    </row>
    <row r="3026" ht="25.5" customHeight="1">
      <c r="A3026" s="4" t="s">
        <v>4960</v>
      </c>
      <c r="B3026" s="8"/>
      <c r="C3026" s="6" t="s">
        <v>4961</v>
      </c>
      <c r="D3026" s="12">
        <f>AVERAGE(D3000,D3031)</f>
        <v>3.855040714</v>
      </c>
    </row>
    <row r="3027" ht="25.5" customHeight="1">
      <c r="A3027" s="4" t="s">
        <v>4962</v>
      </c>
      <c r="B3027" s="8"/>
      <c r="C3027" s="6" t="s">
        <v>4963</v>
      </c>
      <c r="D3027" s="12">
        <f>D1372+(((D3006-D1372)/6)*2)</f>
        <v>5.994674286</v>
      </c>
    </row>
    <row r="3028" ht="25.5" customHeight="1">
      <c r="A3028" s="4" t="s">
        <v>4964</v>
      </c>
      <c r="B3028" s="8"/>
      <c r="C3028" s="6" t="s">
        <v>269</v>
      </c>
      <c r="D3028" s="12">
        <f>AVERAGE(D3020,D3018,D786)</f>
        <v>4.91064381</v>
      </c>
    </row>
    <row r="3029" ht="25.5" customHeight="1">
      <c r="A3029" s="4" t="s">
        <v>4965</v>
      </c>
      <c r="B3029" s="8"/>
      <c r="C3029" s="6" t="s">
        <v>4966</v>
      </c>
      <c r="D3029" s="12">
        <f>D3032</f>
        <v>0</v>
      </c>
    </row>
    <row r="3030" ht="25.5" customHeight="1">
      <c r="A3030" s="4" t="s">
        <v>4967</v>
      </c>
      <c r="B3030" s="8"/>
      <c r="C3030" s="6" t="s">
        <v>273</v>
      </c>
      <c r="D3030" s="12">
        <f>D3032</f>
        <v>0</v>
      </c>
    </row>
    <row r="3031" ht="25.5" customHeight="1">
      <c r="A3031" s="4" t="s">
        <v>4968</v>
      </c>
      <c r="B3031" s="8"/>
      <c r="C3031" s="6" t="s">
        <v>4969</v>
      </c>
      <c r="D3031" s="12">
        <f>AVERAGE(D3063,D3047)</f>
        <v>3.855040714</v>
      </c>
    </row>
    <row r="3032" ht="25.5" customHeight="1">
      <c r="A3032" s="4" t="s">
        <v>4970</v>
      </c>
      <c r="B3032" s="8"/>
      <c r="C3032" s="9" t="s">
        <v>4971</v>
      </c>
      <c r="D3032" s="12">
        <v>0.0</v>
      </c>
      <c r="E3032" s="10" t="s">
        <v>4972</v>
      </c>
    </row>
    <row r="3033" ht="25.5" customHeight="1">
      <c r="A3033" s="4" t="s">
        <v>4973</v>
      </c>
      <c r="B3033" s="8"/>
      <c r="C3033" s="6" t="s">
        <v>4974</v>
      </c>
      <c r="D3033" s="12">
        <f>D3038</f>
        <v>3.855040714</v>
      </c>
    </row>
    <row r="3034" ht="25.5" customHeight="1">
      <c r="A3034" s="4" t="s">
        <v>4975</v>
      </c>
      <c r="B3034" s="8"/>
      <c r="C3034" s="6" t="s">
        <v>2240</v>
      </c>
      <c r="D3034" s="12">
        <f>D3032+(((D747-D3032)/10)*3)</f>
        <v>2.467517143</v>
      </c>
    </row>
    <row r="3035" ht="25.5" customHeight="1">
      <c r="A3035" s="4" t="s">
        <v>4976</v>
      </c>
      <c r="B3035" s="8"/>
      <c r="C3035" s="6" t="s">
        <v>2245</v>
      </c>
      <c r="D3035" s="12">
        <f>AVERAGE(D3038,D3029,D3053)</f>
        <v>1.927520357</v>
      </c>
    </row>
    <row r="3036" ht="25.5" customHeight="1">
      <c r="A3036" s="4" t="s">
        <v>4977</v>
      </c>
      <c r="B3036" s="8"/>
      <c r="C3036" s="6" t="s">
        <v>4978</v>
      </c>
      <c r="D3036" s="12">
        <f>AVERAGE(D3063,D3047)</f>
        <v>3.855040714</v>
      </c>
    </row>
    <row r="3037" ht="25.5" customHeight="1">
      <c r="A3037" s="4" t="s">
        <v>4979</v>
      </c>
      <c r="B3037" s="8"/>
      <c r="C3037" s="6" t="s">
        <v>167</v>
      </c>
      <c r="D3037" s="12">
        <f>D1372+(((D3006-D1372)/6)*3)</f>
        <v>5.318511429</v>
      </c>
    </row>
    <row r="3038" ht="25.5" customHeight="1">
      <c r="A3038" s="4" t="s">
        <v>4980</v>
      </c>
      <c r="B3038" s="8"/>
      <c r="C3038" s="6" t="s">
        <v>4981</v>
      </c>
      <c r="D3038" s="12">
        <f>D3000</f>
        <v>3.855040714</v>
      </c>
    </row>
    <row r="3039" ht="25.5" customHeight="1">
      <c r="A3039" s="4" t="s">
        <v>4982</v>
      </c>
      <c r="B3039" s="8"/>
      <c r="C3039" s="6" t="s">
        <v>1273</v>
      </c>
      <c r="D3039" s="12">
        <f>AVERAGE(D3029,D3030)</f>
        <v>0</v>
      </c>
    </row>
    <row r="3040" ht="25.5" customHeight="1">
      <c r="A3040" s="4" t="s">
        <v>4983</v>
      </c>
      <c r="B3040" s="8"/>
      <c r="C3040" s="6" t="s">
        <v>4984</v>
      </c>
      <c r="D3040" s="12">
        <f>D3000</f>
        <v>3.855040714</v>
      </c>
    </row>
    <row r="3041" ht="25.5" customHeight="1">
      <c r="A3041" s="4" t="s">
        <v>4985</v>
      </c>
      <c r="B3041" s="8"/>
      <c r="C3041" s="6" t="s">
        <v>4986</v>
      </c>
      <c r="D3041" s="12">
        <f>AVERAGE(D3063,D3047)</f>
        <v>3.855040714</v>
      </c>
    </row>
    <row r="3042" ht="25.5" customHeight="1">
      <c r="A3042" s="4" t="s">
        <v>4987</v>
      </c>
      <c r="B3042" s="8"/>
      <c r="C3042" s="6" t="s">
        <v>4988</v>
      </c>
      <c r="D3042" s="12">
        <f>AVERAGE(D1342,D3012,D3013)</f>
        <v>15.7615055</v>
      </c>
    </row>
    <row r="3043" ht="25.5" customHeight="1">
      <c r="A3043" s="4" t="s">
        <v>4989</v>
      </c>
      <c r="B3043" s="8"/>
      <c r="C3043" s="6" t="s">
        <v>964</v>
      </c>
      <c r="D3043" s="12">
        <f>AVERAGE(D1342,D1336,D1399,D3055,D3012)</f>
        <v>16.31250381</v>
      </c>
    </row>
    <row r="3044" ht="25.5" customHeight="1">
      <c r="A3044" s="4" t="s">
        <v>4990</v>
      </c>
      <c r="B3044" s="8"/>
      <c r="C3044" s="6" t="s">
        <v>301</v>
      </c>
      <c r="D3044" s="12">
        <f>AVERAGE(D1330,D1399,D3055)</f>
        <v>17.13600508</v>
      </c>
    </row>
    <row r="3045" ht="25.5" customHeight="1">
      <c r="A3045" s="4" t="s">
        <v>4991</v>
      </c>
      <c r="B3045" s="8"/>
      <c r="C3045" s="6" t="s">
        <v>3532</v>
      </c>
      <c r="D3045" s="12">
        <f>D3032+(((D747-D3032)/10)*1)</f>
        <v>0.8225057143</v>
      </c>
    </row>
    <row r="3046" ht="25.5" customHeight="1">
      <c r="A3046" s="4" t="s">
        <v>4992</v>
      </c>
      <c r="B3046" s="8"/>
      <c r="C3046" s="6" t="s">
        <v>4993</v>
      </c>
      <c r="D3046" s="12">
        <f>AVERAGE(D3030,D3056)</f>
        <v>0</v>
      </c>
    </row>
    <row r="3047" ht="25.5" customHeight="1">
      <c r="A3047" s="4" t="s">
        <v>4994</v>
      </c>
      <c r="B3047" s="8"/>
      <c r="C3047" s="6" t="s">
        <v>4995</v>
      </c>
      <c r="D3047" s="7">
        <f>D713</f>
        <v>3.1863</v>
      </c>
    </row>
    <row r="3048" ht="25.5" customHeight="1">
      <c r="A3048" s="4" t="s">
        <v>4996</v>
      </c>
      <c r="B3048" s="8"/>
      <c r="C3048" s="6" t="s">
        <v>1407</v>
      </c>
      <c r="D3048" s="12">
        <f>D3051</f>
        <v>3.966185714</v>
      </c>
    </row>
    <row r="3049" ht="25.5" customHeight="1">
      <c r="A3049" s="4" t="s">
        <v>4997</v>
      </c>
      <c r="B3049" s="8"/>
      <c r="C3049" s="6" t="s">
        <v>2413</v>
      </c>
      <c r="D3049" s="12">
        <f>D3032+(((D747-D3032)/10)*6)</f>
        <v>4.935034286</v>
      </c>
    </row>
    <row r="3050" ht="25.5" customHeight="1">
      <c r="A3050" s="4" t="s">
        <v>4998</v>
      </c>
      <c r="B3050" s="8"/>
      <c r="C3050" s="6" t="s">
        <v>4482</v>
      </c>
      <c r="D3050" s="12">
        <f>AVERAGE(D3056,D3004,D2998)</f>
        <v>7.878755291</v>
      </c>
    </row>
    <row r="3051" ht="25.5" customHeight="1">
      <c r="A3051" s="4" t="s">
        <v>4999</v>
      </c>
      <c r="B3051" s="8"/>
      <c r="C3051" s="6" t="s">
        <v>5000</v>
      </c>
      <c r="D3051" s="12">
        <f>D1372+(((D3006-D1372)/6)*5)</f>
        <v>3.966185714</v>
      </c>
    </row>
    <row r="3052" ht="25.5" customHeight="1">
      <c r="A3052" s="4" t="s">
        <v>5001</v>
      </c>
      <c r="B3052" s="8"/>
      <c r="C3052" s="6" t="s">
        <v>5002</v>
      </c>
      <c r="D3052" s="12">
        <f>AVERAGE(D3061,D2999)</f>
        <v>19.49950381</v>
      </c>
    </row>
    <row r="3053" ht="25.5" customHeight="1">
      <c r="A3053" s="4" t="s">
        <v>5003</v>
      </c>
      <c r="B3053" s="8"/>
      <c r="C3053" s="6" t="s">
        <v>5004</v>
      </c>
      <c r="D3053" s="12">
        <f>AVERAGE(D3032,D3000)</f>
        <v>1.927520357</v>
      </c>
    </row>
    <row r="3054" ht="25.5" customHeight="1">
      <c r="A3054" s="4" t="s">
        <v>5005</v>
      </c>
      <c r="B3054" s="8"/>
      <c r="C3054" s="6" t="s">
        <v>5006</v>
      </c>
      <c r="D3054" s="12">
        <f>AVERAGE(D3063,D3047)</f>
        <v>3.855040714</v>
      </c>
    </row>
    <row r="3055" ht="25.5" customHeight="1">
      <c r="A3055" s="4" t="s">
        <v>5007</v>
      </c>
      <c r="B3055" s="8"/>
      <c r="C3055" s="6" t="s">
        <v>5008</v>
      </c>
      <c r="D3055" s="12">
        <f>AVERAGE(D1390,D1387)+(((D3037-AVERAGE(D1390,D1387))/9)*5)</f>
        <v>14.77250635</v>
      </c>
    </row>
    <row r="3056" ht="25.5" customHeight="1">
      <c r="A3056" s="4" t="s">
        <v>5009</v>
      </c>
      <c r="B3056" s="8"/>
      <c r="C3056" s="6" t="s">
        <v>759</v>
      </c>
      <c r="D3056" s="12">
        <f>D3032</f>
        <v>0</v>
      </c>
    </row>
    <row r="3057" ht="25.5" customHeight="1">
      <c r="A3057" s="4" t="s">
        <v>5010</v>
      </c>
      <c r="B3057" s="8"/>
      <c r="C3057" s="6" t="s">
        <v>5011</v>
      </c>
      <c r="D3057" s="12">
        <f>AVERAGE(D3013,D3027,D1402)</f>
        <v>7.570340106</v>
      </c>
    </row>
    <row r="3058" ht="25.5" customHeight="1">
      <c r="A3058" s="4" t="s">
        <v>5012</v>
      </c>
      <c r="B3058" s="8"/>
      <c r="C3058" s="6" t="s">
        <v>2033</v>
      </c>
      <c r="D3058" s="12">
        <f>AVERAGE(D3027,D3037,D3024,D3051)</f>
        <v>4.98043</v>
      </c>
    </row>
    <row r="3059" ht="25.5" customHeight="1">
      <c r="A3059" s="4" t="s">
        <v>5013</v>
      </c>
      <c r="B3059" s="8"/>
      <c r="C3059" s="6" t="s">
        <v>5014</v>
      </c>
      <c r="D3059" s="12">
        <f>AVERAGE(D3046,D3039)</f>
        <v>0</v>
      </c>
    </row>
    <row r="3060" ht="25.5" customHeight="1">
      <c r="A3060" s="4" t="s">
        <v>5015</v>
      </c>
      <c r="B3060" s="8"/>
      <c r="C3060" s="6" t="s">
        <v>4020</v>
      </c>
      <c r="D3060" s="12">
        <f>D3049</f>
        <v>4.935034286</v>
      </c>
    </row>
    <row r="3061" ht="25.5" customHeight="1">
      <c r="A3061" s="4" t="s">
        <v>5016</v>
      </c>
      <c r="B3061" s="8"/>
      <c r="C3061" s="6" t="s">
        <v>5017</v>
      </c>
      <c r="D3061" s="12">
        <f>D3011</f>
        <v>19.49950381</v>
      </c>
    </row>
    <row r="3062" ht="25.5" customHeight="1">
      <c r="A3062" s="4" t="s">
        <v>5018</v>
      </c>
      <c r="B3062" s="8"/>
      <c r="C3062" s="6" t="s">
        <v>197</v>
      </c>
      <c r="D3062" s="12">
        <f>AVERAGE(D3063,D3041)</f>
        <v>4.189411071</v>
      </c>
    </row>
    <row r="3063" ht="25.5" customHeight="1">
      <c r="A3063" s="4" t="s">
        <v>5019</v>
      </c>
      <c r="B3063" s="8"/>
      <c r="C3063" s="6" t="s">
        <v>5020</v>
      </c>
      <c r="D3063" s="12">
        <f>AVERAGE(D3023,D3060)</f>
        <v>4.523781429</v>
      </c>
    </row>
    <row r="3064" ht="25.5" customHeight="1">
      <c r="A3064" s="4" t="s">
        <v>5021</v>
      </c>
      <c r="B3064" s="8"/>
      <c r="C3064" s="6" t="s">
        <v>5022</v>
      </c>
      <c r="D3064" s="12">
        <f>AVERAGE(D3045,D3065)</f>
        <v>1.233758571</v>
      </c>
    </row>
    <row r="3065" ht="25.5" customHeight="1">
      <c r="A3065" s="4" t="s">
        <v>5023</v>
      </c>
      <c r="B3065" s="8"/>
      <c r="C3065" s="6" t="s">
        <v>5024</v>
      </c>
      <c r="D3065" s="12">
        <f>D3032+(((D747-D3032)/10)*2)</f>
        <v>1.645011429</v>
      </c>
    </row>
    <row r="3066" ht="25.5" customHeight="1">
      <c r="A3066" s="4" t="s">
        <v>5025</v>
      </c>
      <c r="B3066" s="8"/>
      <c r="C3066" s="6" t="s">
        <v>1201</v>
      </c>
      <c r="D3066" s="12">
        <f>D3065</f>
        <v>1.645011429</v>
      </c>
    </row>
    <row r="3067" ht="25.5" customHeight="1">
      <c r="A3067" s="4" t="s">
        <v>5026</v>
      </c>
      <c r="B3067" s="11"/>
      <c r="C3067" s="6" t="s">
        <v>3562</v>
      </c>
      <c r="D3067" s="12">
        <f>AVERAGE(D3022,D3024,D3045,D3032)</f>
        <v>3.286716111</v>
      </c>
    </row>
    <row r="3068" ht="25.5" customHeight="1">
      <c r="A3068" s="4" t="s">
        <v>5027</v>
      </c>
      <c r="B3068" s="5" t="s">
        <v>5028</v>
      </c>
      <c r="C3068" s="6" t="s">
        <v>72</v>
      </c>
      <c r="D3068" s="12">
        <f>AVERAGE(D3084,D3106)</f>
        <v>9.304377778</v>
      </c>
    </row>
    <row r="3069" ht="25.5" customHeight="1">
      <c r="A3069" s="4" t="s">
        <v>5029</v>
      </c>
      <c r="B3069" s="8"/>
      <c r="C3069" s="6" t="s">
        <v>3860</v>
      </c>
      <c r="D3069" s="12">
        <f>D1216+(((D2941-D1216)/11)*1)</f>
        <v>12.13639847</v>
      </c>
    </row>
    <row r="3070" ht="25.5" customHeight="1">
      <c r="A3070" s="4" t="s">
        <v>5030</v>
      </c>
      <c r="B3070" s="8"/>
      <c r="C3070" s="6" t="s">
        <v>212</v>
      </c>
      <c r="D3070" s="12">
        <f>AVERAGE(D3108,D3087)</f>
        <v>13.87103448</v>
      </c>
    </row>
    <row r="3071" ht="25.5" customHeight="1">
      <c r="A3071" s="4" t="s">
        <v>5031</v>
      </c>
      <c r="B3071" s="8"/>
      <c r="C3071" s="6" t="s">
        <v>5032</v>
      </c>
      <c r="D3071" s="12">
        <f>D3102+(((D3087-D3102)/10)*7)</f>
        <v>11.68948812</v>
      </c>
    </row>
    <row r="3072" ht="25.5" customHeight="1">
      <c r="A3072" s="4" t="s">
        <v>5033</v>
      </c>
      <c r="B3072" s="8"/>
      <c r="C3072" s="6" t="s">
        <v>5034</v>
      </c>
      <c r="D3072" s="12">
        <f>AVERAGE(D2310,D3102)</f>
        <v>5.299534866</v>
      </c>
    </row>
    <row r="3073" ht="25.5" customHeight="1">
      <c r="A3073" s="4" t="s">
        <v>5035</v>
      </c>
      <c r="B3073" s="8"/>
      <c r="C3073" s="6" t="s">
        <v>5036</v>
      </c>
      <c r="D3073" s="12">
        <f>D1030+(((D3087-D1030)/10)*8)</f>
        <v>12.83817854</v>
      </c>
    </row>
    <row r="3074" ht="25.5" customHeight="1">
      <c r="A3074" s="4" t="s">
        <v>5037</v>
      </c>
      <c r="B3074" s="8"/>
      <c r="C3074" s="6" t="s">
        <v>82</v>
      </c>
      <c r="D3074" s="12">
        <f>AVERAGE(D3071,D3111)</f>
        <v>12.67255785</v>
      </c>
    </row>
    <row r="3075" ht="25.5" customHeight="1">
      <c r="A3075" s="4" t="s">
        <v>5038</v>
      </c>
      <c r="B3075" s="8"/>
      <c r="C3075" s="6" t="s">
        <v>94</v>
      </c>
      <c r="D3075" s="12">
        <f>D3102+(((D3087-D3102)/10)*8)</f>
        <v>12.67255785</v>
      </c>
    </row>
    <row r="3076" ht="25.5" customHeight="1">
      <c r="A3076" s="4" t="s">
        <v>5039</v>
      </c>
      <c r="B3076" s="8"/>
      <c r="C3076" s="6" t="s">
        <v>5040</v>
      </c>
      <c r="D3076" s="12">
        <f>AVERAGE(D3088,D3084)</f>
        <v>10.21488352</v>
      </c>
    </row>
    <row r="3077" ht="25.5" customHeight="1">
      <c r="A3077" s="4" t="s">
        <v>5041</v>
      </c>
      <c r="B3077" s="8"/>
      <c r="C3077" s="6" t="s">
        <v>124</v>
      </c>
      <c r="D3077" s="12">
        <f>D2123+(((D1717-D2123)/18)*9)</f>
        <v>13.87103448</v>
      </c>
    </row>
    <row r="3078" ht="25.5" customHeight="1">
      <c r="A3078" s="4" t="s">
        <v>5042</v>
      </c>
      <c r="B3078" s="8"/>
      <c r="C3078" s="6" t="s">
        <v>879</v>
      </c>
      <c r="D3078" s="12">
        <f>AVERAGE(D3088,D3071)</f>
        <v>11.19795326</v>
      </c>
    </row>
    <row r="3079" ht="25.5" customHeight="1">
      <c r="A3079" s="4" t="s">
        <v>5043</v>
      </c>
      <c r="B3079" s="8"/>
      <c r="C3079" s="6" t="s">
        <v>252</v>
      </c>
      <c r="D3079" s="12">
        <f>D1206</f>
        <v>10.0136046</v>
      </c>
    </row>
    <row r="3080" ht="25.5" customHeight="1">
      <c r="A3080" s="4" t="s">
        <v>5044</v>
      </c>
      <c r="B3080" s="8"/>
      <c r="C3080" s="6" t="s">
        <v>5045</v>
      </c>
      <c r="D3080" s="12">
        <f>D3108+(((D2918-D3108)/4)*2)</f>
        <v>12.28588123</v>
      </c>
    </row>
    <row r="3081" ht="25.5" customHeight="1">
      <c r="A3081" s="4" t="s">
        <v>5046</v>
      </c>
      <c r="B3081" s="8"/>
      <c r="C3081" s="6" t="s">
        <v>2059</v>
      </c>
      <c r="D3081" s="12">
        <f>AVERAGE(D2855,D1195)</f>
        <v>11.57229962</v>
      </c>
    </row>
    <row r="3082" ht="25.5" customHeight="1">
      <c r="A3082" s="4" t="s">
        <v>5047</v>
      </c>
      <c r="B3082" s="8"/>
      <c r="C3082" s="6" t="s">
        <v>896</v>
      </c>
      <c r="D3082" s="12">
        <f>AVERAGE(D2251,D2310)</f>
        <v>31.25743925</v>
      </c>
    </row>
    <row r="3083" ht="25.5" customHeight="1">
      <c r="A3083" s="4" t="s">
        <v>5048</v>
      </c>
      <c r="B3083" s="8"/>
      <c r="C3083" s="6" t="s">
        <v>5049</v>
      </c>
      <c r="D3083" s="12">
        <f>AVERAGE(D2855,D2923,D2919)</f>
        <v>11.8691954</v>
      </c>
    </row>
    <row r="3084" ht="25.5" customHeight="1">
      <c r="A3084" s="4" t="s">
        <v>5050</v>
      </c>
      <c r="B3084" s="8"/>
      <c r="C3084" s="6" t="s">
        <v>213</v>
      </c>
      <c r="D3084" s="12">
        <f>D3102+(((D3087-D3102)/10)*5)</f>
        <v>9.723348659</v>
      </c>
    </row>
    <row r="3085" ht="25.5" customHeight="1">
      <c r="A3085" s="4" t="s">
        <v>5051</v>
      </c>
      <c r="B3085" s="8"/>
      <c r="C3085" s="6" t="s">
        <v>138</v>
      </c>
      <c r="D3085" s="12">
        <f>D2123+(((D1717-D2123)/18)*7)</f>
        <v>15.40636015</v>
      </c>
    </row>
    <row r="3086" ht="25.5" customHeight="1">
      <c r="A3086" s="4" t="s">
        <v>5052</v>
      </c>
      <c r="B3086" s="8"/>
      <c r="C3086" s="6" t="s">
        <v>140</v>
      </c>
      <c r="D3086" s="12">
        <f>AVERAGE(D3069,D1216)</f>
        <v>12.20319923</v>
      </c>
    </row>
    <row r="3087" ht="25.5" customHeight="1">
      <c r="A3087" s="4" t="s">
        <v>5053</v>
      </c>
      <c r="B3087" s="8"/>
      <c r="C3087" s="6" t="s">
        <v>5054</v>
      </c>
      <c r="D3087" s="12">
        <f>D2123+(((D1717-D2123)/18)*8)</f>
        <v>14.63869732</v>
      </c>
    </row>
    <row r="3088" ht="25.5" customHeight="1">
      <c r="A3088" s="4" t="s">
        <v>5055</v>
      </c>
      <c r="B3088" s="8"/>
      <c r="C3088" s="6" t="s">
        <v>1265</v>
      </c>
      <c r="D3088" s="12">
        <f>D3102+(((D3087-D3102)/10)*6)</f>
        <v>10.70641839</v>
      </c>
    </row>
    <row r="3089" ht="25.5" customHeight="1">
      <c r="A3089" s="4" t="s">
        <v>5056</v>
      </c>
      <c r="B3089" s="8"/>
      <c r="C3089" s="6" t="s">
        <v>273</v>
      </c>
      <c r="D3089" s="12">
        <f>AVERAGE(D3087,D3107,D3073,D3117)</f>
        <v>13.28830824</v>
      </c>
    </row>
    <row r="3090" ht="25.5" customHeight="1">
      <c r="A3090" s="4" t="s">
        <v>5057</v>
      </c>
      <c r="B3090" s="8"/>
      <c r="C3090" s="6" t="s">
        <v>277</v>
      </c>
      <c r="D3090" s="12">
        <f>AVERAGE(D3097,D3122,D3070,D3089)</f>
        <v>12.95420053</v>
      </c>
    </row>
    <row r="3091" ht="25.5" customHeight="1">
      <c r="A3091" s="4" t="s">
        <v>5058</v>
      </c>
      <c r="B3091" s="8"/>
      <c r="C3091" s="6" t="s">
        <v>161</v>
      </c>
      <c r="D3091" s="12">
        <f>D3102+(((D3087-D3102)/10)*4)</f>
        <v>8.740278927</v>
      </c>
    </row>
    <row r="3092" ht="25.5" customHeight="1">
      <c r="A3092" s="4" t="s">
        <v>5059</v>
      </c>
      <c r="B3092" s="8"/>
      <c r="C3092" s="9" t="s">
        <v>163</v>
      </c>
      <c r="D3092" s="12">
        <v>4.808</v>
      </c>
      <c r="E3092" s="10" t="s">
        <v>5060</v>
      </c>
    </row>
    <row r="3093" ht="25.5" customHeight="1">
      <c r="A3093" s="4" t="s">
        <v>5061</v>
      </c>
      <c r="B3093" s="8"/>
      <c r="C3093" s="6" t="s">
        <v>1378</v>
      </c>
      <c r="D3093" s="12">
        <f>AVERAGE(D3073,D3107,D3085)</f>
        <v>13.99432554</v>
      </c>
    </row>
    <row r="3094" ht="25.5" customHeight="1">
      <c r="A3094" s="4" t="s">
        <v>5062</v>
      </c>
      <c r="B3094" s="8"/>
      <c r="C3094" s="6" t="s">
        <v>2913</v>
      </c>
      <c r="D3094" s="12">
        <f>D3095</f>
        <v>12.33570881</v>
      </c>
    </row>
    <row r="3095" ht="25.5" customHeight="1">
      <c r="A3095" s="4" t="s">
        <v>5063</v>
      </c>
      <c r="B3095" s="8"/>
      <c r="C3095" s="6" t="s">
        <v>1388</v>
      </c>
      <c r="D3095" s="12">
        <f>D2123+(((D1717-D2123)/18)*11)</f>
        <v>12.33570881</v>
      </c>
    </row>
    <row r="3096" ht="25.5" customHeight="1">
      <c r="A3096" s="4" t="s">
        <v>5064</v>
      </c>
      <c r="B3096" s="8"/>
      <c r="C3096" s="6" t="s">
        <v>574</v>
      </c>
      <c r="D3096" s="12">
        <f>AVERAGE(D1206,D1195)</f>
        <v>10.57770345</v>
      </c>
    </row>
    <row r="3097" ht="25.5" customHeight="1">
      <c r="A3097" s="4" t="s">
        <v>5065</v>
      </c>
      <c r="B3097" s="8"/>
      <c r="C3097" s="6" t="s">
        <v>5066</v>
      </c>
      <c r="D3097" s="12">
        <f>D3117</f>
        <v>11.93791916</v>
      </c>
    </row>
    <row r="3098" ht="25.5" customHeight="1">
      <c r="A3098" s="4" t="s">
        <v>5067</v>
      </c>
      <c r="B3098" s="8"/>
      <c r="C3098" s="6" t="s">
        <v>5068</v>
      </c>
      <c r="D3098" s="12">
        <f>D3102+(((D3087-D3102)/10)*3)</f>
        <v>7.757209195</v>
      </c>
    </row>
    <row r="3099" ht="25.5" customHeight="1">
      <c r="A3099" s="4" t="s">
        <v>5069</v>
      </c>
      <c r="B3099" s="8"/>
      <c r="C3099" s="6" t="s">
        <v>167</v>
      </c>
      <c r="D3099" s="12">
        <f>AVERAGE(D2813,D3080,D3112)</f>
        <v>12.28588123</v>
      </c>
    </row>
    <row r="3100" ht="25.5" customHeight="1">
      <c r="A3100" s="4" t="s">
        <v>5070</v>
      </c>
      <c r="B3100" s="8"/>
      <c r="C3100" s="6" t="s">
        <v>171</v>
      </c>
      <c r="D3100" s="12">
        <f>AVERAGE(D3069,D1216,D1195)</f>
        <v>11.84940026</v>
      </c>
    </row>
    <row r="3101" ht="25.5" customHeight="1">
      <c r="A3101" s="4" t="s">
        <v>5071</v>
      </c>
      <c r="B3101" s="8"/>
      <c r="C3101" s="6" t="s">
        <v>1888</v>
      </c>
      <c r="D3101" s="12">
        <f>AVERAGE(D3071,D3075,D3077,D3080)</f>
        <v>12.62974042</v>
      </c>
    </row>
    <row r="3102" ht="25.5" customHeight="1">
      <c r="A3102" s="4" t="s">
        <v>5072</v>
      </c>
      <c r="B3102" s="8"/>
      <c r="C3102" s="9" t="s">
        <v>1522</v>
      </c>
      <c r="D3102" s="12">
        <f>D3092</f>
        <v>4.808</v>
      </c>
      <c r="E3102" s="13" t="s">
        <v>5060</v>
      </c>
    </row>
    <row r="3103" ht="25.5" customHeight="1">
      <c r="A3103" s="4" t="s">
        <v>5073</v>
      </c>
      <c r="B3103" s="8"/>
      <c r="C3103" s="6" t="s">
        <v>1896</v>
      </c>
      <c r="D3103" s="12">
        <f>AVERAGE(D2919,D2818)</f>
        <v>11.6687931</v>
      </c>
    </row>
    <row r="3104" ht="25.5" customHeight="1">
      <c r="A3104" s="4" t="s">
        <v>5074</v>
      </c>
      <c r="B3104" s="8"/>
      <c r="C3104" s="6" t="s">
        <v>5075</v>
      </c>
      <c r="D3104" s="12">
        <f>AVERAGE(D3121,D2130)</f>
        <v>16.55785441</v>
      </c>
    </row>
    <row r="3105" ht="25.5" customHeight="1">
      <c r="A3105" s="4" t="s">
        <v>5076</v>
      </c>
      <c r="B3105" s="8"/>
      <c r="C3105" s="6" t="s">
        <v>1172</v>
      </c>
      <c r="D3105" s="12">
        <f>D3080</f>
        <v>12.28588123</v>
      </c>
    </row>
    <row r="3106" ht="25.5" customHeight="1">
      <c r="A3106" s="4" t="s">
        <v>5077</v>
      </c>
      <c r="B3106" s="8"/>
      <c r="C3106" s="6" t="s">
        <v>5078</v>
      </c>
      <c r="D3106" s="12">
        <f>D1216+(((D3098-D1216)/4)*3)</f>
        <v>8.885406897</v>
      </c>
    </row>
    <row r="3107" ht="25.5" customHeight="1">
      <c r="A3107" s="4" t="s">
        <v>5079</v>
      </c>
      <c r="B3107" s="8"/>
      <c r="C3107" s="6" t="s">
        <v>745</v>
      </c>
      <c r="D3107" s="12">
        <f>D1030+(((D3087-D1030)/10)*9)</f>
        <v>13.73843793</v>
      </c>
    </row>
    <row r="3108" ht="25.5" customHeight="1">
      <c r="A3108" s="4" t="s">
        <v>5080</v>
      </c>
      <c r="B3108" s="8"/>
      <c r="C3108" s="6" t="s">
        <v>5081</v>
      </c>
      <c r="D3108" s="12">
        <f>D2123+(((D1717-D2123)/18)*10)</f>
        <v>13.10337165</v>
      </c>
    </row>
    <row r="3109" ht="25.5" customHeight="1">
      <c r="A3109" s="4" t="s">
        <v>5082</v>
      </c>
      <c r="B3109" s="8"/>
      <c r="C3109" s="6" t="s">
        <v>179</v>
      </c>
      <c r="D3109" s="12">
        <f>AVERAGE(D3105,D3118,D3116,D3068,D3114,D3103)</f>
        <v>10.75672759</v>
      </c>
    </row>
    <row r="3110" ht="25.5" customHeight="1">
      <c r="A3110" s="4" t="s">
        <v>5083</v>
      </c>
      <c r="B3110" s="8"/>
      <c r="C3110" s="6" t="s">
        <v>5084</v>
      </c>
      <c r="D3110" s="12">
        <f>D3121</f>
        <v>16.17402299</v>
      </c>
    </row>
    <row r="3111" ht="25.5" customHeight="1">
      <c r="A3111" s="4" t="s">
        <v>5085</v>
      </c>
      <c r="B3111" s="8"/>
      <c r="C3111" s="6" t="s">
        <v>4121</v>
      </c>
      <c r="D3111" s="12">
        <f>D3102+(((D3087-D3102)/10)*9)</f>
        <v>13.65562759</v>
      </c>
    </row>
    <row r="3112" ht="25.5" customHeight="1">
      <c r="A3112" s="4" t="s">
        <v>5086</v>
      </c>
      <c r="B3112" s="8"/>
      <c r="C3112" s="6" t="s">
        <v>5087</v>
      </c>
      <c r="D3112" s="12">
        <f>D3108+(((D2918-D3108)/4)*1)</f>
        <v>12.69462644</v>
      </c>
    </row>
    <row r="3113" ht="25.5" customHeight="1">
      <c r="A3113" s="4" t="s">
        <v>5088</v>
      </c>
      <c r="B3113" s="8"/>
      <c r="C3113" s="6" t="s">
        <v>759</v>
      </c>
      <c r="D3113" s="12">
        <f>AVERAGE(D3084,D3091,D3106)</f>
        <v>9.116344828</v>
      </c>
    </row>
    <row r="3114" ht="25.5" customHeight="1">
      <c r="A3114" s="4" t="s">
        <v>5089</v>
      </c>
      <c r="B3114" s="8"/>
      <c r="C3114" s="6" t="s">
        <v>5090</v>
      </c>
      <c r="D3114" s="12">
        <f>D3106</f>
        <v>8.885406897</v>
      </c>
    </row>
    <row r="3115" ht="25.5" customHeight="1">
      <c r="A3115" s="4" t="s">
        <v>5091</v>
      </c>
      <c r="B3115" s="8"/>
      <c r="C3115" s="6" t="s">
        <v>4530</v>
      </c>
      <c r="D3115" s="12">
        <f>D2130</f>
        <v>16.94168582</v>
      </c>
    </row>
    <row r="3116" ht="25.5" customHeight="1">
      <c r="A3116" s="4" t="s">
        <v>5092</v>
      </c>
      <c r="B3116" s="8"/>
      <c r="C3116" s="6" t="s">
        <v>4532</v>
      </c>
      <c r="D3116" s="12">
        <f>D3088</f>
        <v>10.70641839</v>
      </c>
    </row>
    <row r="3117" ht="25.5" customHeight="1">
      <c r="A3117" s="4" t="s">
        <v>5093</v>
      </c>
      <c r="B3117" s="8"/>
      <c r="C3117" s="6" t="s">
        <v>1028</v>
      </c>
      <c r="D3117" s="12">
        <f>D1030+(((D3087-D1030)/10)*7)</f>
        <v>11.93791916</v>
      </c>
    </row>
    <row r="3118" ht="25.5" customHeight="1">
      <c r="A3118" s="4" t="s">
        <v>5094</v>
      </c>
      <c r="B3118" s="8"/>
      <c r="C3118" s="6" t="s">
        <v>1030</v>
      </c>
      <c r="D3118" s="12">
        <f>D3071</f>
        <v>11.68948812</v>
      </c>
    </row>
    <row r="3119" ht="25.5" customHeight="1">
      <c r="A3119" s="4" t="s">
        <v>5095</v>
      </c>
      <c r="B3119" s="8"/>
      <c r="C3119" s="6" t="s">
        <v>5096</v>
      </c>
      <c r="D3119" s="12">
        <f>AVERAGE(D3084,D3091,D3098,D2277)</f>
        <v>8.248744061</v>
      </c>
    </row>
    <row r="3120" ht="25.5" customHeight="1">
      <c r="A3120" s="4" t="s">
        <v>5097</v>
      </c>
      <c r="B3120" s="8"/>
      <c r="C3120" s="6" t="s">
        <v>5098</v>
      </c>
      <c r="D3120" s="12">
        <f>AVERAGE(D3111,D3085,D3121)</f>
        <v>15.07867024</v>
      </c>
    </row>
    <row r="3121" ht="25.5" customHeight="1">
      <c r="A3121" s="4" t="s">
        <v>5099</v>
      </c>
      <c r="B3121" s="8"/>
      <c r="C3121" s="6" t="s">
        <v>3562</v>
      </c>
      <c r="D3121" s="12">
        <f>D2123+(((D1717-D2123)/18)*6)</f>
        <v>16.17402299</v>
      </c>
    </row>
    <row r="3122" ht="25.5" customHeight="1">
      <c r="A3122" s="4" t="s">
        <v>5100</v>
      </c>
      <c r="B3122" s="11"/>
      <c r="C3122" s="6" t="s">
        <v>3435</v>
      </c>
      <c r="D3122" s="12">
        <f>AVERAGE(D3095,D3108)</f>
        <v>12.71954023</v>
      </c>
    </row>
    <row r="3123" ht="25.5" customHeight="1">
      <c r="A3123" s="4" t="s">
        <v>5101</v>
      </c>
      <c r="B3123" s="5" t="s">
        <v>5102</v>
      </c>
      <c r="C3123" s="6" t="s">
        <v>3347</v>
      </c>
      <c r="D3123" s="12">
        <f>D2798+(((D1865-D2798)/18)*5)</f>
        <v>10.70388889</v>
      </c>
    </row>
    <row r="3124" ht="25.5" customHeight="1">
      <c r="A3124" s="4" t="s">
        <v>5103</v>
      </c>
      <c r="B3124" s="8"/>
      <c r="C3124" s="6" t="s">
        <v>2726</v>
      </c>
      <c r="D3124" s="12">
        <f>AVERAGE(D3132,D3139,D1603)</f>
        <v>6.082405405</v>
      </c>
    </row>
    <row r="3125" ht="25.5" customHeight="1">
      <c r="A3125" s="4" t="s">
        <v>5104</v>
      </c>
      <c r="B3125" s="8"/>
      <c r="C3125" s="6" t="s">
        <v>1785</v>
      </c>
      <c r="D3125" s="7">
        <f>D681+(((D1341-D681)/37)*18)</f>
        <v>6.608081081</v>
      </c>
    </row>
    <row r="3126" ht="25.5" customHeight="1">
      <c r="A3126" s="4" t="s">
        <v>5105</v>
      </c>
      <c r="B3126" s="8"/>
      <c r="C3126" s="6" t="s">
        <v>2731</v>
      </c>
      <c r="D3126" s="12">
        <f>D2798+(((D1865-D2798)/18)*4)</f>
        <v>10.50111111</v>
      </c>
    </row>
    <row r="3127" ht="25.5" customHeight="1">
      <c r="A3127" s="4" t="s">
        <v>5106</v>
      </c>
      <c r="B3127" s="8"/>
      <c r="C3127" s="6" t="s">
        <v>5107</v>
      </c>
      <c r="D3127" s="12">
        <f>D3132+(((D3133-D3132)/4)*2)</f>
        <v>8.625954955</v>
      </c>
    </row>
    <row r="3128" ht="25.5" customHeight="1">
      <c r="A3128" s="4" t="s">
        <v>5108</v>
      </c>
      <c r="B3128" s="8"/>
      <c r="C3128" s="6" t="s">
        <v>3694</v>
      </c>
      <c r="D3128" s="7">
        <f>D681+(((D1341-D681)/37)*19)</f>
        <v>6.870918919</v>
      </c>
    </row>
    <row r="3129" ht="25.5" customHeight="1">
      <c r="A3129" s="4" t="s">
        <v>5109</v>
      </c>
      <c r="B3129" s="8"/>
      <c r="C3129" s="6" t="s">
        <v>370</v>
      </c>
      <c r="D3129" s="12">
        <f>AVERAGE(D3141,D3126,D3135)</f>
        <v>9.428347848</v>
      </c>
    </row>
    <row r="3130" ht="25.5" customHeight="1">
      <c r="A3130" s="4" t="s">
        <v>5110</v>
      </c>
      <c r="B3130" s="8"/>
      <c r="C3130" s="6" t="s">
        <v>5111</v>
      </c>
      <c r="D3130" s="12">
        <f>AVERAGE(D3138,D3133)</f>
        <v>10.33648874</v>
      </c>
    </row>
    <row r="3131" ht="25.5" customHeight="1">
      <c r="A3131" s="4" t="s">
        <v>5112</v>
      </c>
      <c r="B3131" s="8"/>
      <c r="C3131" s="6" t="s">
        <v>5113</v>
      </c>
      <c r="D3131" s="12">
        <f>AVERAGE(D3144,D3137,D3129)</f>
        <v>6.993522105</v>
      </c>
    </row>
    <row r="3132" ht="25.5" customHeight="1">
      <c r="A3132" s="4" t="s">
        <v>5114</v>
      </c>
      <c r="B3132" s="8"/>
      <c r="C3132" s="6" t="s">
        <v>267</v>
      </c>
      <c r="D3132" s="7">
        <f>D681+(((D1341-D681)/37)*17)</f>
        <v>6.345243243</v>
      </c>
    </row>
    <row r="3133" ht="25.5" customHeight="1">
      <c r="A3133" s="4" t="s">
        <v>5115</v>
      </c>
      <c r="B3133" s="8"/>
      <c r="C3133" s="6" t="s">
        <v>5116</v>
      </c>
      <c r="D3133" s="12">
        <f>D2798+(((D1865-D2798)/18)*6)</f>
        <v>10.90666667</v>
      </c>
    </row>
    <row r="3134" ht="25.5" customHeight="1">
      <c r="A3134" s="4" t="s">
        <v>5117</v>
      </c>
      <c r="B3134" s="8"/>
      <c r="C3134" s="6" t="s">
        <v>273</v>
      </c>
      <c r="D3134" s="12">
        <f>AVERAGE(D663,D3143,D3141)</f>
        <v>8.760934298</v>
      </c>
    </row>
    <row r="3135" ht="25.5" customHeight="1">
      <c r="A3135" s="4" t="s">
        <v>5118</v>
      </c>
      <c r="B3135" s="8"/>
      <c r="C3135" s="6" t="s">
        <v>5119</v>
      </c>
      <c r="D3135" s="12">
        <f>D3132+(((D3133-D3132)/4)*1)</f>
        <v>7.485599099</v>
      </c>
    </row>
    <row r="3136" ht="25.5" customHeight="1">
      <c r="A3136" s="4" t="s">
        <v>5120</v>
      </c>
      <c r="B3136" s="8"/>
      <c r="C3136" s="6" t="s">
        <v>5121</v>
      </c>
      <c r="D3136" s="12">
        <f>AVERAGE(D3127,D3138)</f>
        <v>9.196132883</v>
      </c>
    </row>
    <row r="3137" ht="25.5" customHeight="1">
      <c r="A3137" s="4" t="s">
        <v>5122</v>
      </c>
      <c r="B3137" s="8"/>
      <c r="C3137" s="6" t="s">
        <v>587</v>
      </c>
      <c r="D3137" s="12">
        <f>AVERAGE(D1635,D1617)</f>
        <v>4.636797297</v>
      </c>
    </row>
    <row r="3138" ht="25.5" customHeight="1">
      <c r="A3138" s="4" t="s">
        <v>5123</v>
      </c>
      <c r="B3138" s="8"/>
      <c r="C3138" s="6" t="s">
        <v>2560</v>
      </c>
      <c r="D3138" s="12">
        <f>D3132+(((D3133-D3132)/4)*3)</f>
        <v>9.766310811</v>
      </c>
    </row>
    <row r="3139" ht="25.5" customHeight="1">
      <c r="A3139" s="4" t="s">
        <v>5124</v>
      </c>
      <c r="B3139" s="8"/>
      <c r="C3139" s="6" t="s">
        <v>1723</v>
      </c>
      <c r="D3139" s="7">
        <f>D681+(((D1341-D681)/37)*16)</f>
        <v>6.082405405</v>
      </c>
    </row>
    <row r="3140" ht="25.5" customHeight="1">
      <c r="A3140" s="4" t="s">
        <v>5125</v>
      </c>
      <c r="B3140" s="8"/>
      <c r="C3140" s="6" t="s">
        <v>5126</v>
      </c>
      <c r="D3140" s="12">
        <f>D3141</f>
        <v>10.29833333</v>
      </c>
    </row>
    <row r="3141" ht="25.5" customHeight="1">
      <c r="A3141" s="4" t="s">
        <v>5127</v>
      </c>
      <c r="B3141" s="8"/>
      <c r="C3141" s="6" t="s">
        <v>5128</v>
      </c>
      <c r="D3141" s="12">
        <f>D2798+(((D1865-D2798)/18)*3)</f>
        <v>10.29833333</v>
      </c>
    </row>
    <row r="3142" ht="25.5" customHeight="1">
      <c r="A3142" s="4" t="s">
        <v>5129</v>
      </c>
      <c r="B3142" s="8"/>
      <c r="C3142" s="6" t="s">
        <v>1283</v>
      </c>
      <c r="D3142" s="12">
        <f>AVERAGE(D1617,D663)</f>
        <v>5.197146192</v>
      </c>
    </row>
    <row r="3143" ht="25.5" customHeight="1">
      <c r="A3143" s="4" t="s">
        <v>5130</v>
      </c>
      <c r="B3143" s="8"/>
      <c r="C3143" s="6" t="s">
        <v>5131</v>
      </c>
      <c r="D3143" s="12">
        <f>D2798+(((D1865-D2798)/18)*2)</f>
        <v>10.09555556</v>
      </c>
    </row>
    <row r="3144" ht="25.5" customHeight="1">
      <c r="A3144" s="4" t="s">
        <v>5132</v>
      </c>
      <c r="B3144" s="8"/>
      <c r="C3144" s="6" t="s">
        <v>5133</v>
      </c>
      <c r="D3144" s="12">
        <f>AVERAGE(D3135,D3132)</f>
        <v>6.915421171</v>
      </c>
    </row>
    <row r="3145" ht="25.5" customHeight="1">
      <c r="A3145" s="4" t="s">
        <v>5134</v>
      </c>
      <c r="B3145" s="11"/>
      <c r="C3145" s="6" t="s">
        <v>5135</v>
      </c>
      <c r="D3145" s="12">
        <f>AVERAGE(D2417,D3128,D3125,D3127)</f>
        <v>7.441096847</v>
      </c>
    </row>
    <row r="3146" ht="25.5" customHeight="1">
      <c r="A3146" s="6" t="s">
        <v>5136</v>
      </c>
      <c r="B3146" s="19" t="s">
        <v>5137</v>
      </c>
      <c r="C3146" s="6" t="s">
        <v>5137</v>
      </c>
      <c r="D3146" s="12"/>
    </row>
    <row r="3147" ht="25.5" customHeight="1">
      <c r="A3147" s="6" t="s">
        <v>5138</v>
      </c>
      <c r="B3147" s="20" t="s">
        <v>5139</v>
      </c>
      <c r="C3147" s="6" t="s">
        <v>5140</v>
      </c>
      <c r="D3147" s="12"/>
    </row>
    <row r="3148" ht="25.5" customHeight="1">
      <c r="A3148" s="6" t="s">
        <v>5141</v>
      </c>
      <c r="B3148" s="8"/>
      <c r="C3148" s="6" t="s">
        <v>5142</v>
      </c>
      <c r="D3148" s="12"/>
    </row>
    <row r="3149" ht="25.5" customHeight="1">
      <c r="A3149" s="6" t="s">
        <v>5143</v>
      </c>
      <c r="B3149" s="8"/>
      <c r="C3149" s="6" t="s">
        <v>5144</v>
      </c>
      <c r="D3149" s="12"/>
    </row>
    <row r="3150" ht="25.5" customHeight="1">
      <c r="A3150" s="6" t="s">
        <v>5145</v>
      </c>
      <c r="B3150" s="18"/>
      <c r="C3150" s="6" t="s">
        <v>5146</v>
      </c>
      <c r="D3150" s="12"/>
    </row>
    <row r="3151" ht="25.5" customHeight="1">
      <c r="A3151" s="6" t="s">
        <v>5147</v>
      </c>
      <c r="B3151" s="20" t="s">
        <v>5148</v>
      </c>
      <c r="C3151" s="6" t="s">
        <v>5149</v>
      </c>
      <c r="D3151" s="12"/>
    </row>
    <row r="3152" ht="25.5" customHeight="1">
      <c r="A3152" s="6" t="s">
        <v>5150</v>
      </c>
      <c r="B3152" s="8"/>
      <c r="C3152" s="6" t="s">
        <v>5151</v>
      </c>
      <c r="D3152" s="12"/>
    </row>
    <row r="3153" ht="25.5" customHeight="1">
      <c r="A3153" s="6" t="s">
        <v>5152</v>
      </c>
      <c r="B3153" s="18"/>
      <c r="C3153" s="6" t="s">
        <v>5153</v>
      </c>
      <c r="D3153" s="12"/>
    </row>
    <row r="3154" ht="25.5" customHeight="1">
      <c r="A3154" s="6" t="s">
        <v>5154</v>
      </c>
      <c r="B3154" s="20" t="s">
        <v>5155</v>
      </c>
      <c r="C3154" s="6" t="s">
        <v>5156</v>
      </c>
      <c r="D3154" s="12"/>
    </row>
    <row r="3155" ht="25.5" customHeight="1">
      <c r="A3155" s="6" t="s">
        <v>5157</v>
      </c>
      <c r="B3155" s="8"/>
      <c r="C3155" s="6" t="s">
        <v>5158</v>
      </c>
      <c r="D3155" s="12"/>
    </row>
    <row r="3156" ht="25.5" customHeight="1">
      <c r="A3156" s="6" t="s">
        <v>5159</v>
      </c>
      <c r="B3156" s="18"/>
      <c r="C3156" s="6" t="s">
        <v>5160</v>
      </c>
      <c r="D3156" s="12"/>
    </row>
    <row r="3157" ht="25.5" customHeight="1">
      <c r="A3157" s="6" t="s">
        <v>5161</v>
      </c>
      <c r="B3157" s="5" t="s">
        <v>5162</v>
      </c>
      <c r="C3157" s="6" t="s">
        <v>5163</v>
      </c>
      <c r="D3157" s="12"/>
    </row>
    <row r="3158" ht="25.5" customHeight="1">
      <c r="A3158" s="6" t="s">
        <v>5164</v>
      </c>
      <c r="B3158" s="8"/>
      <c r="C3158" s="6" t="s">
        <v>5165</v>
      </c>
      <c r="D3158" s="12"/>
    </row>
    <row r="3159" ht="25.5" customHeight="1">
      <c r="A3159" s="6" t="s">
        <v>5166</v>
      </c>
      <c r="B3159" s="8"/>
      <c r="C3159" s="6" t="s">
        <v>5167</v>
      </c>
      <c r="D3159" s="12"/>
    </row>
    <row r="3160" ht="25.5" customHeight="1">
      <c r="A3160" s="6" t="s">
        <v>5168</v>
      </c>
      <c r="B3160" s="8"/>
      <c r="C3160" s="6" t="s">
        <v>5169</v>
      </c>
      <c r="D3160" s="12"/>
    </row>
    <row r="3161" ht="25.5" customHeight="1">
      <c r="A3161" s="6" t="s">
        <v>5170</v>
      </c>
      <c r="B3161" s="8"/>
      <c r="C3161" s="6" t="s">
        <v>5171</v>
      </c>
      <c r="D3161" s="12"/>
    </row>
    <row r="3162" ht="25.5" customHeight="1">
      <c r="A3162" s="6" t="s">
        <v>5172</v>
      </c>
      <c r="B3162" s="8"/>
      <c r="C3162" s="6" t="s">
        <v>5173</v>
      </c>
      <c r="D3162" s="12"/>
    </row>
    <row r="3163" ht="25.5" customHeight="1">
      <c r="A3163" s="6" t="s">
        <v>5174</v>
      </c>
      <c r="B3163" s="8"/>
      <c r="C3163" s="6" t="s">
        <v>5175</v>
      </c>
      <c r="D3163" s="12"/>
    </row>
    <row r="3164" ht="25.5" customHeight="1">
      <c r="A3164" s="6" t="s">
        <v>5176</v>
      </c>
      <c r="B3164" s="8"/>
      <c r="C3164" s="6" t="s">
        <v>5177</v>
      </c>
      <c r="D3164" s="12"/>
    </row>
    <row r="3165" ht="25.5" customHeight="1">
      <c r="A3165" s="6" t="s">
        <v>5178</v>
      </c>
      <c r="B3165" s="8"/>
      <c r="C3165" s="6" t="s">
        <v>5179</v>
      </c>
      <c r="D3165" s="12"/>
    </row>
    <row r="3166" ht="25.5" customHeight="1">
      <c r="A3166" s="6" t="s">
        <v>5180</v>
      </c>
      <c r="B3166" s="8"/>
      <c r="C3166" s="6" t="s">
        <v>5181</v>
      </c>
      <c r="D3166" s="12"/>
    </row>
    <row r="3167" ht="25.5" customHeight="1">
      <c r="A3167" s="6" t="s">
        <v>5182</v>
      </c>
      <c r="B3167" s="8"/>
      <c r="C3167" s="6" t="s">
        <v>5183</v>
      </c>
      <c r="D3167" s="12"/>
    </row>
    <row r="3168" ht="25.5" customHeight="1">
      <c r="A3168" s="6" t="s">
        <v>5184</v>
      </c>
      <c r="B3168" s="8"/>
      <c r="C3168" s="6" t="s">
        <v>5185</v>
      </c>
      <c r="D3168" s="12"/>
    </row>
    <row r="3169" ht="25.5" customHeight="1">
      <c r="A3169" s="6" t="s">
        <v>5186</v>
      </c>
      <c r="B3169" s="8"/>
      <c r="C3169" s="6" t="s">
        <v>5187</v>
      </c>
      <c r="D3169" s="12"/>
    </row>
    <row r="3170" ht="25.5" customHeight="1">
      <c r="A3170" s="6" t="s">
        <v>5188</v>
      </c>
      <c r="B3170" s="8"/>
      <c r="C3170" s="6" t="s">
        <v>5189</v>
      </c>
      <c r="D3170" s="12"/>
    </row>
    <row r="3171" ht="25.5" customHeight="1">
      <c r="A3171" s="6" t="s">
        <v>5190</v>
      </c>
      <c r="B3171" s="8"/>
      <c r="C3171" s="6" t="s">
        <v>5191</v>
      </c>
      <c r="D3171" s="12"/>
    </row>
    <row r="3172" ht="25.5" customHeight="1">
      <c r="A3172" s="6" t="s">
        <v>5192</v>
      </c>
      <c r="B3172" s="8"/>
      <c r="C3172" s="6" t="s">
        <v>5193</v>
      </c>
      <c r="D3172" s="12"/>
    </row>
    <row r="3173" ht="25.5" customHeight="1">
      <c r="A3173" s="6" t="s">
        <v>5194</v>
      </c>
      <c r="B3173" s="8"/>
      <c r="C3173" s="6" t="s">
        <v>5195</v>
      </c>
      <c r="D3173" s="12"/>
    </row>
    <row r="3174" ht="25.5" customHeight="1">
      <c r="A3174" s="6" t="s">
        <v>5196</v>
      </c>
      <c r="B3174" s="8"/>
      <c r="C3174" s="6" t="s">
        <v>5197</v>
      </c>
      <c r="D3174" s="12"/>
    </row>
    <row r="3175" ht="25.5" customHeight="1">
      <c r="A3175" s="6" t="s">
        <v>5198</v>
      </c>
      <c r="B3175" s="8"/>
      <c r="C3175" s="6" t="s">
        <v>5199</v>
      </c>
      <c r="D3175" s="12"/>
    </row>
    <row r="3176" ht="25.5" customHeight="1">
      <c r="A3176" s="6" t="s">
        <v>5200</v>
      </c>
      <c r="B3176" s="8"/>
      <c r="C3176" s="6" t="s">
        <v>5201</v>
      </c>
      <c r="D3176" s="12"/>
    </row>
    <row r="3177" ht="25.5" customHeight="1">
      <c r="A3177" s="6" t="s">
        <v>5202</v>
      </c>
      <c r="B3177" s="8"/>
      <c r="C3177" s="6" t="s">
        <v>5203</v>
      </c>
      <c r="D3177" s="12"/>
    </row>
    <row r="3178" ht="25.5" customHeight="1">
      <c r="A3178" s="6" t="s">
        <v>5204</v>
      </c>
      <c r="B3178" s="8"/>
      <c r="C3178" s="6" t="s">
        <v>5205</v>
      </c>
      <c r="D3178" s="12"/>
    </row>
    <row r="3179" ht="25.5" customHeight="1">
      <c r="A3179" s="6" t="s">
        <v>5206</v>
      </c>
      <c r="B3179" s="8"/>
      <c r="C3179" s="6" t="s">
        <v>5207</v>
      </c>
      <c r="D3179" s="12"/>
    </row>
    <row r="3180" ht="25.5" customHeight="1">
      <c r="A3180" s="6" t="s">
        <v>5208</v>
      </c>
      <c r="B3180" s="8"/>
      <c r="C3180" s="6" t="s">
        <v>5209</v>
      </c>
      <c r="D3180" s="12"/>
    </row>
    <row r="3181" ht="25.5" customHeight="1">
      <c r="A3181" s="6" t="s">
        <v>5210</v>
      </c>
      <c r="B3181" s="8"/>
      <c r="C3181" s="6" t="s">
        <v>5211</v>
      </c>
      <c r="D3181" s="12"/>
    </row>
    <row r="3182" ht="25.5" customHeight="1">
      <c r="A3182" s="6" t="s">
        <v>5212</v>
      </c>
      <c r="B3182" s="8"/>
      <c r="C3182" s="6" t="s">
        <v>5213</v>
      </c>
      <c r="D3182" s="12"/>
    </row>
    <row r="3183" ht="25.5" customHeight="1">
      <c r="A3183" s="6" t="s">
        <v>5214</v>
      </c>
      <c r="B3183" s="8"/>
      <c r="C3183" s="6" t="s">
        <v>5215</v>
      </c>
      <c r="D3183" s="12"/>
    </row>
    <row r="3184" ht="25.5" customHeight="1">
      <c r="A3184" s="6" t="s">
        <v>5216</v>
      </c>
      <c r="B3184" s="8"/>
      <c r="C3184" s="6" t="s">
        <v>5217</v>
      </c>
      <c r="D3184" s="12"/>
    </row>
    <row r="3185" ht="25.5" customHeight="1">
      <c r="A3185" s="6" t="s">
        <v>5218</v>
      </c>
      <c r="B3185" s="8"/>
      <c r="C3185" s="6" t="s">
        <v>5219</v>
      </c>
      <c r="D3185" s="12"/>
    </row>
    <row r="3186" ht="25.5" customHeight="1">
      <c r="A3186" s="6" t="s">
        <v>5220</v>
      </c>
      <c r="B3186" s="8"/>
      <c r="C3186" s="6" t="s">
        <v>5221</v>
      </c>
      <c r="D3186" s="12"/>
    </row>
    <row r="3187" ht="25.5" customHeight="1">
      <c r="A3187" s="6" t="s">
        <v>5222</v>
      </c>
      <c r="B3187" s="8"/>
      <c r="C3187" s="6" t="s">
        <v>5223</v>
      </c>
      <c r="D3187" s="12"/>
    </row>
    <row r="3188" ht="25.5" customHeight="1">
      <c r="A3188" s="6" t="s">
        <v>5224</v>
      </c>
      <c r="B3188" s="8"/>
      <c r="C3188" s="6" t="s">
        <v>5225</v>
      </c>
      <c r="D3188" s="12"/>
    </row>
    <row r="3189" ht="25.5" customHeight="1">
      <c r="A3189" s="6" t="s">
        <v>5226</v>
      </c>
      <c r="B3189" s="8"/>
      <c r="C3189" s="6" t="s">
        <v>5227</v>
      </c>
      <c r="D3189" s="12"/>
    </row>
    <row r="3190" ht="25.5" customHeight="1">
      <c r="A3190" s="6" t="s">
        <v>5228</v>
      </c>
      <c r="B3190" s="8"/>
      <c r="C3190" s="6" t="s">
        <v>5229</v>
      </c>
      <c r="D3190" s="12"/>
    </row>
    <row r="3191" ht="25.5" customHeight="1">
      <c r="A3191" s="6" t="s">
        <v>5230</v>
      </c>
      <c r="B3191" s="8"/>
      <c r="C3191" s="6" t="s">
        <v>5231</v>
      </c>
      <c r="D3191" s="12"/>
    </row>
    <row r="3192" ht="25.5" customHeight="1">
      <c r="A3192" s="6" t="s">
        <v>5232</v>
      </c>
      <c r="B3192" s="8"/>
      <c r="C3192" s="6" t="s">
        <v>5233</v>
      </c>
      <c r="D3192" s="12"/>
    </row>
    <row r="3193" ht="25.5" customHeight="1">
      <c r="A3193" s="6" t="s">
        <v>5234</v>
      </c>
      <c r="B3193" s="8"/>
      <c r="C3193" s="6" t="s">
        <v>5235</v>
      </c>
      <c r="D3193" s="12"/>
    </row>
    <row r="3194" ht="25.5" customHeight="1">
      <c r="A3194" s="6" t="s">
        <v>5236</v>
      </c>
      <c r="B3194" s="8"/>
      <c r="C3194" s="6" t="s">
        <v>5237</v>
      </c>
      <c r="D3194" s="12"/>
    </row>
    <row r="3195" ht="25.5" customHeight="1">
      <c r="A3195" s="6" t="s">
        <v>5238</v>
      </c>
      <c r="B3195" s="8"/>
      <c r="C3195" s="6" t="s">
        <v>5239</v>
      </c>
      <c r="D3195" s="12"/>
    </row>
    <row r="3196" ht="25.5" customHeight="1">
      <c r="A3196" s="6" t="s">
        <v>5240</v>
      </c>
      <c r="B3196" s="8"/>
      <c r="C3196" s="6" t="s">
        <v>5241</v>
      </c>
      <c r="D3196" s="12"/>
    </row>
    <row r="3197" ht="25.5" customHeight="1">
      <c r="A3197" s="6" t="s">
        <v>5242</v>
      </c>
      <c r="B3197" s="8"/>
      <c r="C3197" s="6" t="s">
        <v>5243</v>
      </c>
      <c r="D3197" s="12"/>
    </row>
    <row r="3198" ht="25.5" customHeight="1">
      <c r="A3198" s="6" t="s">
        <v>5244</v>
      </c>
      <c r="B3198" s="8"/>
      <c r="C3198" s="6" t="s">
        <v>5245</v>
      </c>
      <c r="D3198" s="12"/>
    </row>
    <row r="3199" ht="25.5" customHeight="1">
      <c r="A3199" s="6" t="s">
        <v>5246</v>
      </c>
      <c r="B3199" s="8"/>
      <c r="C3199" s="6" t="s">
        <v>5247</v>
      </c>
      <c r="D3199" s="12"/>
    </row>
    <row r="3200" ht="25.5" customHeight="1">
      <c r="A3200" s="6" t="s">
        <v>5248</v>
      </c>
      <c r="B3200" s="8"/>
      <c r="C3200" s="6" t="s">
        <v>5249</v>
      </c>
      <c r="D3200" s="12"/>
    </row>
    <row r="3201" ht="25.5" customHeight="1">
      <c r="A3201" s="6" t="s">
        <v>5250</v>
      </c>
      <c r="B3201" s="8"/>
      <c r="C3201" s="6" t="s">
        <v>5251</v>
      </c>
      <c r="D3201" s="12"/>
    </row>
    <row r="3202" ht="25.5" customHeight="1">
      <c r="A3202" s="6" t="s">
        <v>5252</v>
      </c>
      <c r="B3202" s="8"/>
      <c r="C3202" s="6" t="s">
        <v>5253</v>
      </c>
      <c r="D3202" s="12"/>
    </row>
    <row r="3203" ht="25.5" customHeight="1">
      <c r="A3203" s="6" t="s">
        <v>5254</v>
      </c>
      <c r="B3203" s="8"/>
      <c r="C3203" s="6" t="s">
        <v>5255</v>
      </c>
      <c r="D3203" s="12"/>
    </row>
    <row r="3204" ht="25.5" customHeight="1">
      <c r="A3204" s="6" t="s">
        <v>5256</v>
      </c>
      <c r="B3204" s="8"/>
      <c r="C3204" s="6" t="s">
        <v>5257</v>
      </c>
      <c r="D3204" s="12"/>
    </row>
    <row r="3205" ht="25.5" customHeight="1">
      <c r="A3205" s="6" t="s">
        <v>5258</v>
      </c>
      <c r="B3205" s="8"/>
      <c r="C3205" s="6" t="s">
        <v>5259</v>
      </c>
      <c r="D3205" s="12"/>
    </row>
    <row r="3206" ht="25.5" customHeight="1">
      <c r="A3206" s="6" t="s">
        <v>5260</v>
      </c>
      <c r="B3206" s="8"/>
      <c r="C3206" s="6" t="s">
        <v>5261</v>
      </c>
      <c r="D3206" s="12"/>
    </row>
    <row r="3207" ht="25.5" customHeight="1">
      <c r="A3207" s="6" t="s">
        <v>5262</v>
      </c>
      <c r="B3207" s="8"/>
      <c r="C3207" s="6" t="s">
        <v>5263</v>
      </c>
      <c r="D3207" s="12"/>
    </row>
    <row r="3208" ht="25.5" customHeight="1">
      <c r="A3208" s="6" t="s">
        <v>5264</v>
      </c>
      <c r="B3208" s="8"/>
      <c r="C3208" s="6" t="s">
        <v>5265</v>
      </c>
      <c r="D3208" s="12"/>
    </row>
    <row r="3209" ht="25.5" customHeight="1">
      <c r="A3209" s="6" t="s">
        <v>5266</v>
      </c>
      <c r="B3209" s="8"/>
      <c r="C3209" s="6" t="s">
        <v>5267</v>
      </c>
      <c r="D3209" s="12"/>
    </row>
    <row r="3210" ht="25.5" customHeight="1">
      <c r="A3210" s="6" t="s">
        <v>5268</v>
      </c>
      <c r="B3210" s="8"/>
      <c r="C3210" s="6" t="s">
        <v>5269</v>
      </c>
      <c r="D3210" s="12"/>
    </row>
    <row r="3211" ht="25.5" customHeight="1">
      <c r="A3211" s="6" t="s">
        <v>5270</v>
      </c>
      <c r="B3211" s="8"/>
      <c r="C3211" s="6" t="s">
        <v>5271</v>
      </c>
      <c r="D3211" s="12"/>
    </row>
    <row r="3212" ht="25.5" customHeight="1">
      <c r="A3212" s="6" t="s">
        <v>5272</v>
      </c>
      <c r="B3212" s="8"/>
      <c r="C3212" s="6" t="s">
        <v>5273</v>
      </c>
      <c r="D3212" s="12"/>
    </row>
    <row r="3213" ht="25.5" customHeight="1">
      <c r="A3213" s="6" t="s">
        <v>5274</v>
      </c>
      <c r="B3213" s="8"/>
      <c r="C3213" s="6" t="s">
        <v>5275</v>
      </c>
      <c r="D3213" s="12"/>
    </row>
    <row r="3214" ht="25.5" customHeight="1">
      <c r="A3214" s="6" t="s">
        <v>5276</v>
      </c>
      <c r="B3214" s="8"/>
      <c r="C3214" s="6" t="s">
        <v>5277</v>
      </c>
      <c r="D3214" s="12"/>
    </row>
    <row r="3215" ht="25.5" customHeight="1">
      <c r="A3215" s="6" t="s">
        <v>5278</v>
      </c>
      <c r="B3215" s="8"/>
      <c r="C3215" s="6" t="s">
        <v>5279</v>
      </c>
      <c r="D3215" s="12"/>
    </row>
    <row r="3216" ht="25.5" customHeight="1">
      <c r="A3216" s="6" t="s">
        <v>5280</v>
      </c>
      <c r="B3216" s="8"/>
      <c r="C3216" s="6" t="s">
        <v>5281</v>
      </c>
      <c r="D3216" s="12"/>
    </row>
    <row r="3217" ht="25.5" customHeight="1">
      <c r="A3217" s="6" t="s">
        <v>5282</v>
      </c>
      <c r="B3217" s="8"/>
      <c r="C3217" s="6" t="s">
        <v>5283</v>
      </c>
      <c r="D3217" s="12"/>
    </row>
    <row r="3218" ht="25.5" customHeight="1">
      <c r="A3218" s="6" t="s">
        <v>5284</v>
      </c>
      <c r="B3218" s="8"/>
      <c r="C3218" s="6" t="s">
        <v>5285</v>
      </c>
      <c r="D3218" s="12"/>
    </row>
    <row r="3219" ht="25.5" customHeight="1">
      <c r="A3219" s="6" t="s">
        <v>5286</v>
      </c>
      <c r="B3219" s="8"/>
      <c r="C3219" s="6" t="s">
        <v>5287</v>
      </c>
      <c r="D3219" s="12"/>
    </row>
    <row r="3220" ht="25.5" customHeight="1">
      <c r="A3220" s="6" t="s">
        <v>5288</v>
      </c>
      <c r="B3220" s="8"/>
      <c r="C3220" s="6" t="s">
        <v>5289</v>
      </c>
      <c r="D3220" s="12"/>
    </row>
    <row r="3221" ht="25.5" customHeight="1">
      <c r="A3221" s="6" t="s">
        <v>5290</v>
      </c>
      <c r="B3221" s="8"/>
      <c r="C3221" s="6" t="s">
        <v>604</v>
      </c>
      <c r="D3221" s="12"/>
    </row>
    <row r="3222" ht="25.5" customHeight="1">
      <c r="A3222" s="6" t="s">
        <v>5291</v>
      </c>
      <c r="B3222" s="8"/>
      <c r="C3222" s="6" t="s">
        <v>5292</v>
      </c>
      <c r="D3222" s="12"/>
    </row>
    <row r="3223" ht="25.5" customHeight="1">
      <c r="A3223" s="6" t="s">
        <v>5293</v>
      </c>
      <c r="B3223" s="8"/>
      <c r="C3223" s="6" t="s">
        <v>5294</v>
      </c>
      <c r="D3223" s="12"/>
    </row>
    <row r="3224" ht="25.5" customHeight="1">
      <c r="A3224" s="6" t="s">
        <v>5295</v>
      </c>
      <c r="B3224" s="8"/>
      <c r="C3224" s="6" t="s">
        <v>5296</v>
      </c>
      <c r="D3224" s="12"/>
    </row>
    <row r="3225" ht="25.5" customHeight="1">
      <c r="A3225" s="6" t="s">
        <v>5297</v>
      </c>
      <c r="B3225" s="8"/>
      <c r="C3225" s="6" t="s">
        <v>5298</v>
      </c>
      <c r="D3225" s="12"/>
    </row>
    <row r="3226" ht="25.5" customHeight="1">
      <c r="A3226" s="6" t="s">
        <v>5299</v>
      </c>
      <c r="B3226" s="8"/>
      <c r="C3226" s="6" t="s">
        <v>5300</v>
      </c>
      <c r="D3226" s="12"/>
    </row>
    <row r="3227" ht="25.5" customHeight="1">
      <c r="A3227" s="6" t="s">
        <v>5301</v>
      </c>
      <c r="B3227" s="8"/>
      <c r="C3227" s="6" t="s">
        <v>5302</v>
      </c>
      <c r="D3227" s="12"/>
    </row>
    <row r="3228" ht="25.5" customHeight="1">
      <c r="A3228" s="6" t="s">
        <v>5303</v>
      </c>
      <c r="B3228" s="8"/>
      <c r="C3228" s="6" t="s">
        <v>5304</v>
      </c>
      <c r="D3228" s="12"/>
    </row>
    <row r="3229" ht="25.5" customHeight="1">
      <c r="A3229" s="6" t="s">
        <v>5305</v>
      </c>
      <c r="B3229" s="8"/>
      <c r="C3229" s="6" t="s">
        <v>5306</v>
      </c>
      <c r="D3229" s="12"/>
    </row>
    <row r="3230" ht="25.5" customHeight="1">
      <c r="A3230" s="6" t="s">
        <v>5307</v>
      </c>
      <c r="B3230" s="8"/>
      <c r="C3230" s="6" t="s">
        <v>5308</v>
      </c>
      <c r="D3230" s="12"/>
    </row>
    <row r="3231" ht="25.5" customHeight="1">
      <c r="A3231" s="6" t="s">
        <v>5309</v>
      </c>
      <c r="B3231" s="8"/>
      <c r="C3231" s="6" t="s">
        <v>5310</v>
      </c>
      <c r="D3231" s="12"/>
    </row>
    <row r="3232" ht="25.5" customHeight="1">
      <c r="A3232" s="6" t="s">
        <v>5311</v>
      </c>
      <c r="B3232" s="8"/>
      <c r="C3232" s="6" t="s">
        <v>5312</v>
      </c>
      <c r="D3232" s="12"/>
    </row>
    <row r="3233" ht="25.5" customHeight="1">
      <c r="A3233" s="6" t="s">
        <v>5313</v>
      </c>
      <c r="B3233" s="8"/>
      <c r="C3233" s="6" t="s">
        <v>5314</v>
      </c>
      <c r="D3233" s="12"/>
    </row>
    <row r="3234" ht="25.5" customHeight="1">
      <c r="A3234" s="6" t="s">
        <v>5315</v>
      </c>
      <c r="B3234" s="11"/>
      <c r="C3234" s="6" t="s">
        <v>5316</v>
      </c>
      <c r="D3234" s="12"/>
    </row>
  </sheetData>
  <mergeCells count="54">
    <mergeCell ref="B2:B31"/>
    <mergeCell ref="B32:B98"/>
    <mergeCell ref="B99:B173"/>
    <mergeCell ref="B174:B188"/>
    <mergeCell ref="B189:B246"/>
    <mergeCell ref="B247:B310"/>
    <mergeCell ref="B311:B319"/>
    <mergeCell ref="B321:B323"/>
    <mergeCell ref="B324:B390"/>
    <mergeCell ref="B391:B549"/>
    <mergeCell ref="B550:B554"/>
    <mergeCell ref="B555:B653"/>
    <mergeCell ref="B654:B697"/>
    <mergeCell ref="B698:B799"/>
    <mergeCell ref="B800:B891"/>
    <mergeCell ref="B892:B996"/>
    <mergeCell ref="B997:B1116"/>
    <mergeCell ref="B1117:B1180"/>
    <mergeCell ref="B1181:B1194"/>
    <mergeCell ref="B1195:B1218"/>
    <mergeCell ref="B1219:B1234"/>
    <mergeCell ref="B1235:B1317"/>
    <mergeCell ref="B1318:B1404"/>
    <mergeCell ref="B1405:B1519"/>
    <mergeCell ref="B1520:B1601"/>
    <mergeCell ref="B1602:B1657"/>
    <mergeCell ref="B1658:B1757"/>
    <mergeCell ref="B1758:B1810"/>
    <mergeCell ref="B1811:B1903"/>
    <mergeCell ref="B1904:B1913"/>
    <mergeCell ref="B1914:B1934"/>
    <mergeCell ref="B1935:B1967"/>
    <mergeCell ref="B1968:B1984"/>
    <mergeCell ref="B1985:B2046"/>
    <mergeCell ref="B2047:B2134"/>
    <mergeCell ref="B2135:B2211"/>
    <mergeCell ref="B2212:B2247"/>
    <mergeCell ref="B2248:B2314"/>
    <mergeCell ref="B2315:B2319"/>
    <mergeCell ref="B2320:B2365"/>
    <mergeCell ref="B2366:B2431"/>
    <mergeCell ref="B2432:B2526"/>
    <mergeCell ref="B3123:B3145"/>
    <mergeCell ref="B3147:B3150"/>
    <mergeCell ref="B3151:B3153"/>
    <mergeCell ref="B3154:B3156"/>
    <mergeCell ref="B3157:B3234"/>
    <mergeCell ref="B2527:B2780"/>
    <mergeCell ref="B2781:B2809"/>
    <mergeCell ref="B2810:B2942"/>
    <mergeCell ref="B2943:B2956"/>
    <mergeCell ref="B2957:B2995"/>
    <mergeCell ref="B2996:B3067"/>
    <mergeCell ref="B3068:B3122"/>
  </mergeCells>
  <conditionalFormatting sqref="D33 D44 D58 D80:D81 D96 D339 D1539:D1540 D1542:D1543 D1549">
    <cfRule type="colorScale" priority="1">
      <colorScale>
        <cfvo type="formula" val="206.6"/>
        <cfvo type="formula" val="575.8"/>
        <cfvo type="formula" val="945"/>
        <color theme="1"/>
        <color rgb="FF7F7F7F"/>
        <color rgb="FFBFBFBF"/>
      </colorScale>
    </cfRule>
  </conditionalFormatting>
  <conditionalFormatting sqref="D2:D31 D35:D36 D39:D43 D45:D46 D48 D50 D53:D54 D56 D59:D61 D63:D73 D76:D79 D83:D85 D87:D95 D98:D325 D327:D338 D340:D351 D353:D368 D370:D377 D379:D388 D390:D1141 D1143:D1145 D1147 D1149:D1151 D1153 D1155:D1159 D1165:D1167 D1171:D1174 D1176:D1519 D1521 D1523:D1529 D1531:D1533 D1536 D1541 D1545:D1546 D1548 D1554:D1555 D1557 D1560:D1561 D1563 D1566:D1573 D1577:D1579 D1582 D1586:D1592 D1595 D1597 D1599:D1810 D1812:D1814 D1817:D1819 D1821 D1824:D1827 D1830 D1832:D1833 D1835:D1836 D1839 D1845 D1848 D1853:D1856 D1861:D1864 D1866:D1867 D1870 D1872 D1874 D1877:D1878 D1880 D1884:D1885 D1889 D1891 D1893:D1894 D1896:D1897 D1899:D1900 D1904:D3145">
    <cfRule type="colorScale" priority="2">
      <colorScale>
        <cfvo type="formula" val="0"/>
        <cfvo type="formula" val="48.795"/>
        <cfvo type="formula" val="97.59"/>
        <color theme="0"/>
        <color rgb="FFFFC000"/>
        <color rgb="FFC00000"/>
      </colorScale>
    </cfRule>
  </conditionalFormatting>
  <conditionalFormatting sqref="D32 D34 D37:D38 D47 D49 D51:D52 D55 D57 D62 D74:D75 D82 D86 D97 D326 D352 D369 D378 D389 D1142 D1146 D1148 D1152 D1154 D1160:D1164 D1168:D1170 D1175 D1520 D1522 D1530 D1534:D1535 D1537:D1538 D1544 D1547 D1550:D1553 D1556 D1558:D1559 D1562 D1564:D1565 D1574:D1576 D1580:D1581 D1583:D1585 D1593:D1594 D1596 D1598 D1811 D1815:D1816 D1820 D1822:D1823 D1828:D1829 D1831 D1834 D1837:D1838 D1840:D1844 D1846:D1847 D1849:D1852 D1857:D1860 D1865 D1868:D1869 D1871 D1873 D1875:D1876 D1879 D1881:D1883 D1886:D1888 D1890 D1892 D1895 D1898 D1901:D1903">
    <cfRule type="colorScale" priority="3">
      <colorScale>
        <cfvo type="formula" val="97.59"/>
        <cfvo type="formula" val="152.095"/>
        <cfvo type="formula" val="206.6"/>
        <color rgb="FFC00000"/>
        <color rgb="FF7030A0"/>
        <color theme="1"/>
      </colorScale>
    </cfRule>
  </conditionalFormatting>
  <printOptions/>
  <pageMargins bottom="0.75" footer="0.0" header="0.0" left="0.7" right="0.7" top="0.75"/>
  <pageSetup orientation="landscape"/>
  <drawing r:id="rId1"/>
</worksheet>
</file>